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Assumptions" sheetId="2" state="visible" r:id="rId4"/>
    <sheet name="MarketSizing" sheetId="3" state="visible" r:id="rId5"/>
    <sheet name="UnitEconomics" sheetId="4" state="visible" r:id="rId6"/>
    <sheet name="Model" sheetId="5" state="visible" r:id="rId7"/>
    <sheet name="Summary" sheetId="6" state="visible" r:id="rId8"/>
    <sheet name="KPI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<sst xmlns="http://schemas.openxmlformats.org/spreadsheetml/2006/main" count="243" uniqueCount="232">
  <si>
    <t xml:space="preserve">ACOB — AI Choice. One Bite.</t>
  </si>
  <si>
    <t xml:space="preserve">Investor Model — Projectboca.com  ·  drafted July 18, 2026  ·  all product/pricing inputs are founder-editable assumptions</t>
  </si>
  <si>
    <t xml:space="preserve">How to use this workbook</t>
  </si>
  <si>
    <t xml:space="preserve">Assumptions</t>
  </si>
  <si>
    <t xml:space="preserve">The control panel. Every blue cell is an editable input; yellow cells are the highest-leverage ones. Everything else recalculates.</t>
  </si>
  <si>
    <t xml:space="preserve">MarketSizing</t>
  </si>
  <si>
    <t xml:space="preserve">TAM / SAM / SOM two ways: decision-moments and dollars. Formula-driven from Assumptions.</t>
  </si>
  <si>
    <t xml:space="preserve">UnitEconomics</t>
  </si>
  <si>
    <t xml:space="preserve">Per-MAU contribution and payback (consumer side); LTV, CAC, LTV:CAC (restaurant side).</t>
  </si>
  <si>
    <t xml:space="preserve">Model</t>
  </si>
  <si>
    <t xml:space="preserve">36-month operating model: users, partners, three revenue engines, COGS, S&amp;M, EBITDA, cumulative cash need.</t>
  </si>
  <si>
    <t xml:space="preserve">Summary</t>
  </si>
  <si>
    <t xml:space="preserve">Annual roll-up of the monthly model, plus a scenario sensitivity table (incl. "E1 = $0" stress case).</t>
  </si>
  <si>
    <t xml:space="preserve">KPIs</t>
  </si>
  <si>
    <t xml:space="preserve">The headline metrics an investor asks for first: break-even month, peak burn, exit ARR, LTV:CAC.</t>
  </si>
  <si>
    <t xml:space="preserve">Color legend</t>
  </si>
  <si>
    <t xml:space="preserve">Blue text</t>
  </si>
  <si>
    <t xml:space="preserve">Hardcoded input — edit these</t>
  </si>
  <si>
    <t xml:space="preserve">Blue text on yellow</t>
  </si>
  <si>
    <t xml:space="preserve">Key assumption — highest sensitivity, edit first</t>
  </si>
  <si>
    <t xml:space="preserve">Black text</t>
  </si>
  <si>
    <t xml:space="preserve">Formula within the sheet — do not overwrite</t>
  </si>
  <si>
    <t xml:space="preserve">Green text</t>
  </si>
  <si>
    <t xml:space="preserve">Link to another sheet — do not overwrite</t>
  </si>
  <si>
    <t xml:space="preserve">Sources &amp; caveats</t>
  </si>
  <si>
    <t xml:space="preserve">Market stats cited on Assumptions (NRA 2026 State of the Industry; SocialPilot review stats; OnePoll/Seated surveys).</t>
  </si>
  <si>
    <t xml:space="preserve">All ACOB-specific figures (prices, conversion, growth) are illustrative working assumptions from the founder session — not measured data.</t>
  </si>
  <si>
    <t xml:space="preserve">This is a planning model, not financial advice or a forecast of actual results.</t>
  </si>
  <si>
    <t xml:space="preserve">Assumptions — the control panel</t>
  </si>
  <si>
    <t xml:space="preserve">Edit blue cells. Yellow = highest-leverage. Column D names the source or basis.</t>
  </si>
  <si>
    <t xml:space="preserve">Market (US)</t>
  </si>
  <si>
    <t xml:space="preserve">US adults (18+)</t>
  </si>
  <si>
    <t xml:space="preserve">Census-order estimate — verify against current ACS data</t>
  </si>
  <si>
    <t xml:space="preserve">% of adults dining/ordering out regularly</t>
  </si>
  <si>
    <t xml:space="preserve">Estimate — NRA consumer surveys directionally support high-80s engagement</t>
  </si>
  <si>
    <t xml:space="preserve">Dine-out/order-out decisions per adult per week</t>
  </si>
  <si>
    <t xml:space="preserve">Survey-order estimate (Seated/OnePoll deliberation studies) — verify</t>
  </si>
  <si>
    <t xml:space="preserve">% of diners consulting reviews before choosing</t>
  </si>
  <si>
    <t xml:space="preserve">SocialPilot online-review statistics, 2026</t>
  </si>
  <si>
    <t xml:space="preserve">US restaurant &amp; foodservice sales, 2026 ($)</t>
  </si>
  <si>
    <t xml:space="preserve">National Restaurant Association, 2026 State of the Industry</t>
  </si>
  <si>
    <t xml:space="preserve">Restaurant marketing spend, % of sales</t>
  </si>
  <si>
    <t xml:space="preserve">Industry rule of thumb 3–6%; conservative end used</t>
  </si>
  <si>
    <t xml:space="preserve">Digital local-discovery share of marketing</t>
  </si>
  <si>
    <t xml:space="preserve">Assumption</t>
  </si>
  <si>
    <t xml:space="preserve">Obtainable share within 3 years (SOM)</t>
  </si>
  <si>
    <t xml:space="preserve">Assumption — launch-metro wedge</t>
  </si>
  <si>
    <t xml:space="preserve">Engine 1 — Consumer (app + premium)</t>
  </si>
  <si>
    <t xml:space="preserve">MAU, month 1 (launch metro)</t>
  </si>
  <si>
    <t xml:space="preserve">Founder assumption — post real-catalog launch</t>
  </si>
  <si>
    <t xml:space="preserve">MAU growth, % MoM, Year 1</t>
  </si>
  <si>
    <t xml:space="preserve">MAU growth, % MoM, Year 2</t>
  </si>
  <si>
    <t xml:space="preserve">MAU growth, % MoM, Year 3</t>
  </si>
  <si>
    <t xml:space="preserve">Free → premium conversion (% of MAU)</t>
  </si>
  <si>
    <t xml:space="preserve">Assumption — consumer-app norm 2–5%</t>
  </si>
  <si>
    <t xml:space="preserve">Premium price, $/month</t>
  </si>
  <si>
    <t xml:space="preserve">Founder assumption</t>
  </si>
  <si>
    <t xml:space="preserve">Premium monthly churn</t>
  </si>
  <si>
    <t xml:space="preserve">Consumer CAC, $ per new MAU</t>
  </si>
  <si>
    <t xml:space="preserve">Assumption — paid + organic blend</t>
  </si>
  <si>
    <t xml:space="preserve">Engine 2 — Restaurants (Menu Intelligence)</t>
  </si>
  <si>
    <t xml:space="preserve">Partner restaurants, month 1</t>
  </si>
  <si>
    <t xml:space="preserve">Hand-onboarded at launch</t>
  </si>
  <si>
    <t xml:space="preserve">Net new partners per month, Year 1</t>
  </si>
  <si>
    <t xml:space="preserve">Assumption — founder-led sales</t>
  </si>
  <si>
    <t xml:space="preserve">Net new partners per month, Year 2</t>
  </si>
  <si>
    <t xml:space="preserve">Assumption — first sales hire</t>
  </si>
  <si>
    <t xml:space="preserve">Net new partners per month, Year 3</t>
  </si>
  <si>
    <t xml:space="preserve">Assumption — second metro</t>
  </si>
  <si>
    <t xml:space="preserve">Menu Intelligence fee, $/month</t>
  </si>
  <si>
    <t xml:space="preserve">Founder assumption — anti-Groupon: analytics, never placement</t>
  </si>
  <si>
    <t xml:space="preserve">Partner monthly churn</t>
  </si>
  <si>
    <t xml:space="preserve">Partner CAC (sales + onboarding), $</t>
  </si>
  <si>
    <t xml:space="preserve">Dish photography per new partner, $ (COGS)</t>
  </si>
  <si>
    <t xml:space="preserve">Assumption — card quality is product quality</t>
  </si>
  <si>
    <t xml:space="preserve">Engine 3 — Decided-diner handoff</t>
  </si>
  <si>
    <t xml:space="preserve">Handoffs per MAU per month</t>
  </si>
  <si>
    <t xml:space="preserve">Assumption — completed reveals routed to maps/pickup/delivery</t>
  </si>
  <si>
    <t xml:space="preserve">Fee per handoff, $</t>
  </si>
  <si>
    <t xml:space="preserve">Assumption — delivery/reservation affiliate norms</t>
  </si>
  <si>
    <t xml:space="preserve">Costs</t>
  </si>
  <si>
    <t xml:space="preserve">Hosting + data cost per MAU per month, $</t>
  </si>
  <si>
    <t xml:space="preserve">Assumption — Vercel/db/API at scale</t>
  </si>
  <si>
    <t xml:space="preserve">Payment processing, % of subscription revenue</t>
  </si>
  <si>
    <t xml:space="preserve">Stripe-order pricing</t>
  </si>
  <si>
    <t xml:space="preserve">Fixed opex per month, Year 1, $</t>
  </si>
  <si>
    <t xml:space="preserve">Assumption — founder + 2 contractors + tools</t>
  </si>
  <si>
    <t xml:space="preserve">Fixed opex per month, Year 2, $</t>
  </si>
  <si>
    <t xml:space="preserve">Assumption — +2 hires</t>
  </si>
  <si>
    <t xml:space="preserve">Fixed opex per month, Year 3, $</t>
  </si>
  <si>
    <t xml:space="preserve">Assumption — team of ~7</t>
  </si>
  <si>
    <t xml:space="preserve">Market sizing — moments and money</t>
  </si>
  <si>
    <t xml:space="preserve">All rows are formulas driven by the Assumptions tab.</t>
  </si>
  <si>
    <t xml:space="preserve">By moments (the story)</t>
  </si>
  <si>
    <t xml:space="preserve">US adults</t>
  </si>
  <si>
    <t xml:space="preserve">Adults dining/ordering out regularly</t>
  </si>
  <si>
    <t xml:space="preserve">"Where should we eat?" moments per year</t>
  </si>
  <si>
    <t xml:space="preserve">≈ 35 billion at base assumptions</t>
  </si>
  <si>
    <t xml:space="preserve">Researched decisions (addressable moments)</t>
  </si>
  <si>
    <t xml:space="preserve">By money (the model)</t>
  </si>
  <si>
    <t xml:space="preserve">US restaurant &amp; foodservice sales, 2026</t>
  </si>
  <si>
    <t xml:space="preserve">TAM — restaurant demand-generation spend</t>
  </si>
  <si>
    <t xml:space="preserve">Sales × marketing-spend %</t>
  </si>
  <si>
    <t xml:space="preserve">SAM — digital local-discovery spend</t>
  </si>
  <si>
    <t xml:space="preserve">TAM × digital/local share</t>
  </si>
  <si>
    <t xml:space="preserve">SOM — obtainable within 3 years</t>
  </si>
  <si>
    <t xml:space="preserve">SAM × obtainable share</t>
  </si>
  <si>
    <t xml:space="preserve">Consumer layer cross-check</t>
  </si>
  <si>
    <t xml:space="preserve">Adults who struggle deciding what to order (79%)</t>
  </si>
  <si>
    <t xml:space="preserve">US Foods survey via KSAT, 2024 — premium audience ceiling</t>
  </si>
  <si>
    <t xml:space="preserve">Unit economics</t>
  </si>
  <si>
    <t xml:space="preserve">Consumer side — per monthly active user</t>
  </si>
  <si>
    <t xml:space="preserve">E1 contribution / MAU / month (conv × price, net of processing)</t>
  </si>
  <si>
    <t xml:space="preserve">E3 contribution / MAU / month (handoffs × fee)</t>
  </si>
  <si>
    <t xml:space="preserve">Hosting cost / MAU / month</t>
  </si>
  <si>
    <t xml:space="preserve">Net contribution / MAU / month</t>
  </si>
  <si>
    <t xml:space="preserve">Consumer CAC per new MAU</t>
  </si>
  <si>
    <t xml:space="preserve">CAC payback, months</t>
  </si>
  <si>
    <t xml:space="preserve">Consumer-app benchmark: &lt; 12 months is healthy; &lt; 6 strong</t>
  </si>
  <si>
    <t xml:space="preserve">Restaurant side — per Menu Intelligence partner</t>
  </si>
  <si>
    <t xml:space="preserve">Monthly fee (net of processing)</t>
  </si>
  <si>
    <t xml:space="preserve">Average lifetime, months (1 ÷ churn)</t>
  </si>
  <si>
    <t xml:space="preserve">LTV (net fee × lifetime)</t>
  </si>
  <si>
    <t xml:space="preserve">CAC (sales + onboarding + photography)</t>
  </si>
  <si>
    <t xml:space="preserve">LTV : CAC</t>
  </si>
  <si>
    <t xml:space="preserve">SaaS benchmark: &gt; 3x healthy, &gt; 4x strong</t>
  </si>
  <si>
    <t xml:space="preserve">ACOB — 36-month operating model</t>
  </si>
  <si>
    <t xml:space="preserve">Month</t>
  </si>
  <si>
    <t xml:space="preserve">M1</t>
  </si>
  <si>
    <t xml:space="preserve">M2</t>
  </si>
  <si>
    <t xml:space="preserve">M3</t>
  </si>
  <si>
    <t xml:space="preserve">M4</t>
  </si>
  <si>
    <t xml:space="preserve">M5</t>
  </si>
  <si>
    <t xml:space="preserve">M6</t>
  </si>
  <si>
    <t xml:space="preserve">M7</t>
  </si>
  <si>
    <t xml:space="preserve">M8</t>
  </si>
  <si>
    <t xml:space="preserve">M9</t>
  </si>
  <si>
    <t xml:space="preserve">M10</t>
  </si>
  <si>
    <t xml:space="preserve">M11</t>
  </si>
  <si>
    <t xml:space="preserve">M12</t>
  </si>
  <si>
    <t xml:space="preserve">M13</t>
  </si>
  <si>
    <t xml:space="preserve">M14</t>
  </si>
  <si>
    <t xml:space="preserve">M15</t>
  </si>
  <si>
    <t xml:space="preserve">M16</t>
  </si>
  <si>
    <t xml:space="preserve">M17</t>
  </si>
  <si>
    <t xml:space="preserve">M18</t>
  </si>
  <si>
    <t xml:space="preserve">M19</t>
  </si>
  <si>
    <t xml:space="preserve">M20</t>
  </si>
  <si>
    <t xml:space="preserve">M21</t>
  </si>
  <si>
    <t xml:space="preserve">M22</t>
  </si>
  <si>
    <t xml:space="preserve">M23</t>
  </si>
  <si>
    <t xml:space="preserve">M24</t>
  </si>
  <si>
    <t xml:space="preserve">M25</t>
  </si>
  <si>
    <t xml:space="preserve">M26</t>
  </si>
  <si>
    <t xml:space="preserve">M27</t>
  </si>
  <si>
    <t xml:space="preserve">M28</t>
  </si>
  <si>
    <t xml:space="preserve">M29</t>
  </si>
  <si>
    <t xml:space="preserve">M30</t>
  </si>
  <si>
    <t xml:space="preserve">M31</t>
  </si>
  <si>
    <t xml:space="preserve">M32</t>
  </si>
  <si>
    <t xml:space="preserve">M33</t>
  </si>
  <si>
    <t xml:space="preserve">M34</t>
  </si>
  <si>
    <t xml:space="preserve">M35</t>
  </si>
  <si>
    <t xml:space="preserve">M36</t>
  </si>
  <si>
    <t xml:space="preserve">Month #</t>
  </si>
  <si>
    <t xml:space="preserve">Year</t>
  </si>
  <si>
    <t xml:space="preserve">Monthly active users (MAU)</t>
  </si>
  <si>
    <t xml:space="preserve">New MAU in month</t>
  </si>
  <si>
    <t xml:space="preserve">Premium subscribers</t>
  </si>
  <si>
    <t xml:space="preserve">E1 revenue — consumer premium</t>
  </si>
  <si>
    <t xml:space="preserve">Partner restaurants</t>
  </si>
  <si>
    <t xml:space="preserve">New partners in month</t>
  </si>
  <si>
    <t xml:space="preserve">E2 revenue — Menu Intelligence</t>
  </si>
  <si>
    <t xml:space="preserve">Decided-diner handoffs</t>
  </si>
  <si>
    <t xml:space="preserve">E3 revenue — handoff fees</t>
  </si>
  <si>
    <t xml:space="preserve">Total revenue</t>
  </si>
  <si>
    <t xml:space="preserve">COGS (hosting + photography + processing)</t>
  </si>
  <si>
    <t xml:space="preserve">Gross profit</t>
  </si>
  <si>
    <t xml:space="preserve">Gross margin %</t>
  </si>
  <si>
    <t xml:space="preserve">Sales &amp; marketing (CAC spend)</t>
  </si>
  <si>
    <t xml:space="preserve">Fixed operating expenses</t>
  </si>
  <si>
    <t xml:space="preserve">EBITDA</t>
  </si>
  <si>
    <t xml:space="preserve">Cumulative EBITDA (cash need proxy)</t>
  </si>
  <si>
    <t xml:space="preserve">Annual summary</t>
  </si>
  <si>
    <t xml:space="preserve">Year 1</t>
  </si>
  <si>
    <t xml:space="preserve">Year 2</t>
  </si>
  <si>
    <t xml:space="preserve">Year 3</t>
  </si>
  <si>
    <t xml:space="preserve">E1 — consumer premium</t>
  </si>
  <si>
    <t xml:space="preserve">E2 — Menu Intelligence</t>
  </si>
  <si>
    <t xml:space="preserve">E3 — handoff fees</t>
  </si>
  <si>
    <t xml:space="preserve">Sales &amp; marketing</t>
  </si>
  <si>
    <t xml:space="preserve">Fixed opex</t>
  </si>
  <si>
    <t xml:space="preserve">Exit MAU (month 12/24/36)</t>
  </si>
  <si>
    <t xml:space="preserve">Exit partner restaurants</t>
  </si>
  <si>
    <t xml:space="preserve">Exit ARR run-rate (exit month × 12)</t>
  </si>
  <si>
    <t xml:space="preserve">Scenario sensitivity — Year-1 exit month (M12) revenue run-rate</t>
  </si>
  <si>
    <t xml:space="preserve">Drivers are standalone blue inputs per scenario; formulas below recompute M12 monthly revenue from scratch.</t>
  </si>
  <si>
    <t xml:space="preserve">Conservative</t>
  </si>
  <si>
    <t xml:space="preserve">Base</t>
  </si>
  <si>
    <t xml:space="preserve">Aggressive</t>
  </si>
  <si>
    <t xml:space="preserve">E1 = $0 stress</t>
  </si>
  <si>
    <t xml:space="preserve">MAU growth % MoM (Y1)</t>
  </si>
  <si>
    <t xml:space="preserve">Premium conversion %</t>
  </si>
  <si>
    <t xml:space="preserve">Partner restaurants at M12</t>
  </si>
  <si>
    <t xml:space="preserve">E1 engine on? (1/0)</t>
  </si>
  <si>
    <t xml:space="preserve">M12 MAU</t>
  </si>
  <si>
    <t xml:space="preserve">M12 monthly revenue</t>
  </si>
  <si>
    <t xml:space="preserve">Implied exit ARR</t>
  </si>
  <si>
    <t xml:space="preserve">Note: the "E1 = $0" case answers the diligence question "what if consumers never pay?" — E2 + E3 still carry the model.</t>
  </si>
  <si>
    <t xml:space="preserve">KPI dashboard — what an investor asks first</t>
  </si>
  <si>
    <t xml:space="preserve">EBITDA break-even month</t>
  </si>
  <si>
    <t xml:space="preserve">First month cumulative EBITDA turns positive</t>
  </si>
  <si>
    <t xml:space="preserve">Peak cumulative burn (min cumulative EBITDA)</t>
  </si>
  <si>
    <t xml:space="preserve">Proxy for minimum capital required (pre-buffer)</t>
  </si>
  <si>
    <t xml:space="preserve">Implied raise (peak burn × 1.4 buffer)</t>
  </si>
  <si>
    <t xml:space="preserve">40% buffer over modeled need</t>
  </si>
  <si>
    <t xml:space="preserve">Year-3 exit ARR run-rate</t>
  </si>
  <si>
    <t xml:space="preserve">Exit month × 12</t>
  </si>
  <si>
    <t xml:space="preserve">Year-3 exit MAU</t>
  </si>
  <si>
    <t xml:space="preserve">Year-3 exit partner restaurants</t>
  </si>
  <si>
    <t xml:space="preserve">Year-3 gross margin %</t>
  </si>
  <si>
    <t xml:space="preserve">Restaurant LTV : CAC</t>
  </si>
  <si>
    <t xml:space="preserve">Benchmark: &gt; 3x</t>
  </si>
  <si>
    <t xml:space="preserve">Consumer CAC payback, months</t>
  </si>
  <si>
    <t xml:space="preserve">Benchmark: &lt; 12</t>
  </si>
  <si>
    <t xml:space="preserve">E2 + E3 share of Year-3 revenue</t>
  </si>
  <si>
    <t xml:space="preserve">Shows the model does not lean on consumer subscriptions</t>
  </si>
  <si>
    <t xml:space="preserve">Product KPIs to report alongside financials (from app telemetry once live):</t>
  </si>
  <si>
    <t xml:space="preserve">· Median time-to-decision (target &lt; 60s)</t>
  </si>
  <si>
    <t xml:space="preserve">· Lightning Round completion rate (target &gt; 60%)</t>
  </si>
  <si>
    <t xml:space="preserve">· Reveal-to-action rate (directions/order tapped)</t>
  </si>
  <si>
    <t xml:space="preserve">· D30 retention; sessions per user per week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</si>
</sst>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"/>
    <numFmt numFmtId="166" formatCode="0.0%"/>
    <numFmt numFmtId="167" formatCode="0.0"/>
    <numFmt numFmtId="168" formatCode="\$#,##0;&quot;($&quot;#,##0\);\-"/>
    <numFmt numFmtId="169" formatCode="0.00%"/>
    <numFmt numFmtId="170" formatCode="\$#,##0.00;&quot;($&quot;#,##0.00\);\-"/>
    <numFmt numFmtId="171" formatCode="0.0\x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2F2F2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3" min="3" style="0" width="90"/>
  </cols>
  <sheetData>
    <row r="2" customFormat="false" ht="17.3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</row>
    <row r="6" customFormat="false" ht="15" hidden="false" customHeight="false" outlineLevel="0" collapsed="false">
      <c r="B6" s="4" t="s">
        <v>3</v>
      </c>
      <c r="C6" s="5" t="s">
        <v>4</v>
      </c>
    </row>
    <row r="7" customFormat="false" ht="15" hidden="false" customHeight="false" outlineLevel="0" collapsed="false">
      <c r="B7" s="4" t="s">
        <v>5</v>
      </c>
      <c r="C7" s="5" t="s">
        <v>6</v>
      </c>
    </row>
    <row r="8" customFormat="false" ht="15" hidden="false" customHeight="false" outlineLevel="0" collapsed="false">
      <c r="B8" s="4" t="s">
        <v>7</v>
      </c>
      <c r="C8" s="5" t="s">
        <v>8</v>
      </c>
    </row>
    <row r="9" customFormat="false" ht="15" hidden="false" customHeight="false" outlineLevel="0" collapsed="false">
      <c r="B9" s="4" t="s">
        <v>9</v>
      </c>
      <c r="C9" s="5" t="s">
        <v>10</v>
      </c>
    </row>
    <row r="10" customFormat="false" ht="15" hidden="false" customHeight="false" outlineLevel="0" collapsed="false">
      <c r="B10" s="4" t="s">
        <v>11</v>
      </c>
      <c r="C10" s="5" t="s">
        <v>12</v>
      </c>
    </row>
    <row r="11" customFormat="false" ht="15" hidden="false" customHeight="false" outlineLevel="0" collapsed="false">
      <c r="B11" s="4" t="s">
        <v>13</v>
      </c>
      <c r="C11" s="5" t="s">
        <v>14</v>
      </c>
    </row>
    <row r="13" customFormat="false" ht="15" hidden="false" customHeight="false" outlineLevel="0" collapsed="false">
      <c r="B13" s="3" t="s">
        <v>15</v>
      </c>
    </row>
    <row r="14" customFormat="false" ht="15" hidden="false" customHeight="false" outlineLevel="0" collapsed="false">
      <c r="B14" s="6" t="s">
        <v>16</v>
      </c>
      <c r="C14" s="5" t="s">
        <v>17</v>
      </c>
    </row>
    <row r="15" customFormat="false" ht="15" hidden="false" customHeight="false" outlineLevel="0" collapsed="false">
      <c r="B15" s="7" t="s">
        <v>18</v>
      </c>
      <c r="C15" s="5" t="s">
        <v>19</v>
      </c>
    </row>
    <row r="16" customFormat="false" ht="15" hidden="false" customHeight="false" outlineLevel="0" collapsed="false">
      <c r="B16" s="5" t="s">
        <v>20</v>
      </c>
      <c r="C16" s="5" t="s">
        <v>21</v>
      </c>
    </row>
    <row r="17" customFormat="false" ht="15" hidden="false" customHeight="false" outlineLevel="0" collapsed="false">
      <c r="B17" s="8" t="s">
        <v>22</v>
      </c>
      <c r="C17" s="5" t="s">
        <v>23</v>
      </c>
    </row>
    <row r="19" customFormat="false" ht="15" hidden="false" customHeight="false" outlineLevel="0" collapsed="false">
      <c r="B19" s="3" t="s">
        <v>24</v>
      </c>
    </row>
    <row r="20" customFormat="false" ht="15" hidden="false" customHeight="false" outlineLevel="0" collapsed="false">
      <c r="C20" s="5" t="s">
        <v>25</v>
      </c>
    </row>
    <row r="21" customFormat="false" ht="15" hidden="false" customHeight="false" outlineLevel="0" collapsed="false">
      <c r="C21" s="5" t="s">
        <v>26</v>
      </c>
    </row>
    <row r="22" customFormat="false" ht="15" hidden="false" customHeight="false" outlineLevel="0" collapsed="false">
      <c r="C22" s="5" t="s">
        <v>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6"/>
    <col collapsed="false" customWidth="true" hidden="false" outlineLevel="0" max="3" min="3" style="0" width="16"/>
    <col collapsed="false" customWidth="true" hidden="false" outlineLevel="0" max="4" min="4" style="0" width="78"/>
  </cols>
  <sheetData>
    <row r="2" customFormat="false" ht="17.35" hidden="false" customHeight="false" outlineLevel="0" collapsed="false">
      <c r="B2" s="1" t="s">
        <v>28</v>
      </c>
    </row>
    <row r="3" customFormat="false" ht="15" hidden="false" customHeight="false" outlineLevel="0" collapsed="false">
      <c r="B3" s="2" t="s">
        <v>29</v>
      </c>
    </row>
    <row r="5" customFormat="false" ht="15" hidden="false" customHeight="false" outlineLevel="0" collapsed="false">
      <c r="B5" s="9" t="s">
        <v>30</v>
      </c>
      <c r="C5" s="10"/>
      <c r="D5" s="10"/>
    </row>
    <row r="6" customFormat="false" ht="15" hidden="false" customHeight="false" outlineLevel="0" collapsed="false">
      <c r="B6" s="5" t="s">
        <v>31</v>
      </c>
      <c r="C6" s="11" t="n">
        <v>262000000</v>
      </c>
      <c r="D6" s="2" t="s">
        <v>32</v>
      </c>
    </row>
    <row r="7" customFormat="false" ht="15" hidden="false" customHeight="false" outlineLevel="0" collapsed="false">
      <c r="B7" s="5" t="s">
        <v>33</v>
      </c>
      <c r="C7" s="12" t="n">
        <v>0.85</v>
      </c>
      <c r="D7" s="2" t="s">
        <v>34</v>
      </c>
    </row>
    <row r="8" customFormat="false" ht="15" hidden="false" customHeight="false" outlineLevel="0" collapsed="false">
      <c r="B8" s="5" t="s">
        <v>35</v>
      </c>
      <c r="C8" s="13" t="n">
        <v>3</v>
      </c>
      <c r="D8" s="2" t="s">
        <v>36</v>
      </c>
    </row>
    <row r="9" customFormat="false" ht="15" hidden="false" customHeight="false" outlineLevel="0" collapsed="false">
      <c r="B9" s="5" t="s">
        <v>37</v>
      </c>
      <c r="C9" s="12" t="n">
        <v>0.94</v>
      </c>
      <c r="D9" s="2" t="s">
        <v>38</v>
      </c>
    </row>
    <row r="10" customFormat="false" ht="15" hidden="false" customHeight="false" outlineLevel="0" collapsed="false">
      <c r="B10" s="5" t="s">
        <v>39</v>
      </c>
      <c r="C10" s="14" t="n">
        <v>1550000000000</v>
      </c>
      <c r="D10" s="2" t="s">
        <v>40</v>
      </c>
    </row>
    <row r="11" customFormat="false" ht="15" hidden="false" customHeight="false" outlineLevel="0" collapsed="false">
      <c r="B11" s="5" t="s">
        <v>41</v>
      </c>
      <c r="C11" s="12" t="n">
        <v>0.03</v>
      </c>
      <c r="D11" s="2" t="s">
        <v>42</v>
      </c>
    </row>
    <row r="12" customFormat="false" ht="15" hidden="false" customHeight="false" outlineLevel="0" collapsed="false">
      <c r="B12" s="5" t="s">
        <v>43</v>
      </c>
      <c r="C12" s="12" t="n">
        <v>0.4</v>
      </c>
      <c r="D12" s="2" t="s">
        <v>44</v>
      </c>
    </row>
    <row r="13" customFormat="false" ht="15" hidden="false" customHeight="false" outlineLevel="0" collapsed="false">
      <c r="B13" s="5" t="s">
        <v>45</v>
      </c>
      <c r="C13" s="15" t="n">
        <v>0.001</v>
      </c>
      <c r="D13" s="2" t="s">
        <v>46</v>
      </c>
    </row>
    <row r="15" customFormat="false" ht="15" hidden="false" customHeight="false" outlineLevel="0" collapsed="false">
      <c r="B15" s="9" t="s">
        <v>47</v>
      </c>
      <c r="C15" s="10"/>
      <c r="D15" s="10"/>
    </row>
    <row r="16" customFormat="false" ht="15" hidden="false" customHeight="false" outlineLevel="0" collapsed="false">
      <c r="B16" s="5" t="s">
        <v>48</v>
      </c>
      <c r="C16" s="11" t="n">
        <v>2000</v>
      </c>
      <c r="D16" s="2" t="s">
        <v>49</v>
      </c>
    </row>
    <row r="17" customFormat="false" ht="15" hidden="false" customHeight="false" outlineLevel="0" collapsed="false">
      <c r="B17" s="5" t="s">
        <v>50</v>
      </c>
      <c r="C17" s="16" t="n">
        <v>0.2</v>
      </c>
      <c r="D17" s="2" t="s">
        <v>44</v>
      </c>
    </row>
    <row r="18" customFormat="false" ht="15" hidden="false" customHeight="false" outlineLevel="0" collapsed="false">
      <c r="B18" s="5" t="s">
        <v>51</v>
      </c>
      <c r="C18" s="12" t="n">
        <v>0.12</v>
      </c>
      <c r="D18" s="2" t="s">
        <v>44</v>
      </c>
    </row>
    <row r="19" customFormat="false" ht="15" hidden="false" customHeight="false" outlineLevel="0" collapsed="false">
      <c r="B19" s="5" t="s">
        <v>52</v>
      </c>
      <c r="C19" s="12" t="n">
        <v>0.08</v>
      </c>
      <c r="D19" s="2" t="s">
        <v>44</v>
      </c>
    </row>
    <row r="20" customFormat="false" ht="15" hidden="false" customHeight="false" outlineLevel="0" collapsed="false">
      <c r="B20" s="5" t="s">
        <v>53</v>
      </c>
      <c r="C20" s="16" t="n">
        <v>0.03</v>
      </c>
      <c r="D20" s="2" t="s">
        <v>54</v>
      </c>
    </row>
    <row r="21" customFormat="false" ht="15" hidden="false" customHeight="false" outlineLevel="0" collapsed="false">
      <c r="B21" s="5" t="s">
        <v>55</v>
      </c>
      <c r="C21" s="17" t="n">
        <v>4.99</v>
      </c>
      <c r="D21" s="2" t="s">
        <v>56</v>
      </c>
    </row>
    <row r="22" customFormat="false" ht="15" hidden="false" customHeight="false" outlineLevel="0" collapsed="false">
      <c r="B22" s="5" t="s">
        <v>57</v>
      </c>
      <c r="C22" s="12" t="n">
        <v>0.05</v>
      </c>
      <c r="D22" s="2" t="s">
        <v>44</v>
      </c>
    </row>
    <row r="23" customFormat="false" ht="15" hidden="false" customHeight="false" outlineLevel="0" collapsed="false">
      <c r="B23" s="5" t="s">
        <v>58</v>
      </c>
      <c r="C23" s="17" t="n">
        <v>2.5</v>
      </c>
      <c r="D23" s="2" t="s">
        <v>59</v>
      </c>
    </row>
    <row r="25" customFormat="false" ht="15" hidden="false" customHeight="false" outlineLevel="0" collapsed="false">
      <c r="B25" s="9" t="s">
        <v>60</v>
      </c>
      <c r="C25" s="10"/>
      <c r="D25" s="10"/>
    </row>
    <row r="26" customFormat="false" ht="15" hidden="false" customHeight="false" outlineLevel="0" collapsed="false">
      <c r="B26" s="5" t="s">
        <v>61</v>
      </c>
      <c r="C26" s="11" t="n">
        <v>10</v>
      </c>
      <c r="D26" s="2" t="s">
        <v>62</v>
      </c>
    </row>
    <row r="27" customFormat="false" ht="15" hidden="false" customHeight="false" outlineLevel="0" collapsed="false">
      <c r="B27" s="5" t="s">
        <v>63</v>
      </c>
      <c r="C27" s="18" t="n">
        <v>8</v>
      </c>
      <c r="D27" s="2" t="s">
        <v>64</v>
      </c>
    </row>
    <row r="28" customFormat="false" ht="15" hidden="false" customHeight="false" outlineLevel="0" collapsed="false">
      <c r="B28" s="5" t="s">
        <v>65</v>
      </c>
      <c r="C28" s="11" t="n">
        <v>20</v>
      </c>
      <c r="D28" s="2" t="s">
        <v>66</v>
      </c>
    </row>
    <row r="29" customFormat="false" ht="15" hidden="false" customHeight="false" outlineLevel="0" collapsed="false">
      <c r="B29" s="5" t="s">
        <v>67</v>
      </c>
      <c r="C29" s="11" t="n">
        <v>40</v>
      </c>
      <c r="D29" s="2" t="s">
        <v>68</v>
      </c>
    </row>
    <row r="30" customFormat="false" ht="15" hidden="false" customHeight="false" outlineLevel="0" collapsed="false">
      <c r="B30" s="5" t="s">
        <v>69</v>
      </c>
      <c r="C30" s="19" t="n">
        <v>99</v>
      </c>
      <c r="D30" s="2" t="s">
        <v>70</v>
      </c>
    </row>
    <row r="31" customFormat="false" ht="15" hidden="false" customHeight="false" outlineLevel="0" collapsed="false">
      <c r="B31" s="5" t="s">
        <v>71</v>
      </c>
      <c r="C31" s="12" t="n">
        <v>0.03</v>
      </c>
      <c r="D31" s="2" t="s">
        <v>44</v>
      </c>
    </row>
    <row r="32" customFormat="false" ht="15" hidden="false" customHeight="false" outlineLevel="0" collapsed="false">
      <c r="B32" s="5" t="s">
        <v>72</v>
      </c>
      <c r="C32" s="14" t="n">
        <v>300</v>
      </c>
      <c r="D32" s="2" t="s">
        <v>44</v>
      </c>
    </row>
    <row r="33" customFormat="false" ht="15" hidden="false" customHeight="false" outlineLevel="0" collapsed="false">
      <c r="B33" s="5" t="s">
        <v>73</v>
      </c>
      <c r="C33" s="14" t="n">
        <v>150</v>
      </c>
      <c r="D33" s="2" t="s">
        <v>74</v>
      </c>
    </row>
    <row r="35" customFormat="false" ht="15" hidden="false" customHeight="false" outlineLevel="0" collapsed="false">
      <c r="B35" s="9" t="s">
        <v>75</v>
      </c>
      <c r="C35" s="10"/>
      <c r="D35" s="10"/>
    </row>
    <row r="36" customFormat="false" ht="15" hidden="false" customHeight="false" outlineLevel="0" collapsed="false">
      <c r="B36" s="5" t="s">
        <v>76</v>
      </c>
      <c r="C36" s="13" t="n">
        <v>0.6</v>
      </c>
      <c r="D36" s="2" t="s">
        <v>77</v>
      </c>
    </row>
    <row r="37" customFormat="false" ht="15" hidden="false" customHeight="false" outlineLevel="0" collapsed="false">
      <c r="B37" s="5" t="s">
        <v>78</v>
      </c>
      <c r="C37" s="17" t="n">
        <v>1</v>
      </c>
      <c r="D37" s="2" t="s">
        <v>79</v>
      </c>
    </row>
    <row r="39" customFormat="false" ht="15" hidden="false" customHeight="false" outlineLevel="0" collapsed="false">
      <c r="B39" s="9" t="s">
        <v>80</v>
      </c>
      <c r="C39" s="10"/>
      <c r="D39" s="10"/>
    </row>
    <row r="40" customFormat="false" ht="15" hidden="false" customHeight="false" outlineLevel="0" collapsed="false">
      <c r="B40" s="5" t="s">
        <v>81</v>
      </c>
      <c r="C40" s="17" t="n">
        <v>0.15</v>
      </c>
      <c r="D40" s="2" t="s">
        <v>82</v>
      </c>
    </row>
    <row r="41" customFormat="false" ht="15" hidden="false" customHeight="false" outlineLevel="0" collapsed="false">
      <c r="B41" s="5" t="s">
        <v>83</v>
      </c>
      <c r="C41" s="12" t="n">
        <v>0.029</v>
      </c>
      <c r="D41" s="2" t="s">
        <v>84</v>
      </c>
    </row>
    <row r="42" customFormat="false" ht="15" hidden="false" customHeight="false" outlineLevel="0" collapsed="false">
      <c r="B42" s="5" t="s">
        <v>85</v>
      </c>
      <c r="C42" s="14" t="n">
        <v>25000</v>
      </c>
      <c r="D42" s="2" t="s">
        <v>86</v>
      </c>
    </row>
    <row r="43" customFormat="false" ht="15" hidden="false" customHeight="false" outlineLevel="0" collapsed="false">
      <c r="B43" s="5" t="s">
        <v>87</v>
      </c>
      <c r="C43" s="14" t="n">
        <v>45000</v>
      </c>
      <c r="D43" s="2" t="s">
        <v>88</v>
      </c>
    </row>
    <row r="44" customFormat="false" ht="15" hidden="false" customHeight="false" outlineLevel="0" collapsed="false">
      <c r="B44" s="5" t="s">
        <v>89</v>
      </c>
      <c r="C44" s="14" t="n">
        <v>70000</v>
      </c>
      <c r="D44" s="2" t="s">
        <v>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2"/>
    <col collapsed="false" customWidth="true" hidden="false" outlineLevel="0" max="3" min="3" style="0" width="22"/>
    <col collapsed="false" customWidth="true" hidden="false" outlineLevel="0" max="4" min="4" style="0" width="66"/>
  </cols>
  <sheetData>
    <row r="2" customFormat="false" ht="17.35" hidden="false" customHeight="false" outlineLevel="0" collapsed="false">
      <c r="B2" s="1" t="s">
        <v>91</v>
      </c>
    </row>
    <row r="3" customFormat="false" ht="15" hidden="false" customHeight="false" outlineLevel="0" collapsed="false">
      <c r="B3" s="2" t="s">
        <v>92</v>
      </c>
    </row>
    <row r="5" customFormat="false" ht="15" hidden="false" customHeight="false" outlineLevel="0" collapsed="false">
      <c r="B5" s="3" t="s">
        <v>93</v>
      </c>
    </row>
    <row r="6" customFormat="false" ht="15" hidden="false" customHeight="false" outlineLevel="0" collapsed="false">
      <c r="B6" s="5" t="s">
        <v>94</v>
      </c>
      <c r="C6" s="20" t="n">
        <f aca="false">Assumptions!C6</f>
        <v>262000000</v>
      </c>
    </row>
    <row r="7" customFormat="false" ht="15" hidden="false" customHeight="false" outlineLevel="0" collapsed="false">
      <c r="B7" s="5" t="s">
        <v>95</v>
      </c>
      <c r="C7" s="20" t="n">
        <f aca="false">C6*Assumptions!C7</f>
        <v>222700000</v>
      </c>
    </row>
    <row r="8" customFormat="false" ht="15" hidden="false" customHeight="false" outlineLevel="0" collapsed="false">
      <c r="B8" s="5" t="s">
        <v>96</v>
      </c>
      <c r="C8" s="21" t="n">
        <f aca="false">C7*Assumptions!C8*52</f>
        <v>34741200000</v>
      </c>
      <c r="D8" s="2" t="s">
        <v>97</v>
      </c>
    </row>
    <row r="9" customFormat="false" ht="15" hidden="false" customHeight="false" outlineLevel="0" collapsed="false">
      <c r="B9" s="5" t="s">
        <v>98</v>
      </c>
      <c r="C9" s="20" t="n">
        <f aca="false">C8*Assumptions!C9</f>
        <v>32656728000</v>
      </c>
    </row>
    <row r="11" customFormat="false" ht="15" hidden="false" customHeight="false" outlineLevel="0" collapsed="false">
      <c r="B11" s="3" t="s">
        <v>99</v>
      </c>
    </row>
    <row r="12" customFormat="false" ht="15" hidden="false" customHeight="false" outlineLevel="0" collapsed="false">
      <c r="B12" s="5" t="s">
        <v>100</v>
      </c>
      <c r="C12" s="22" t="n">
        <f aca="false">Assumptions!C10</f>
        <v>1550000000000</v>
      </c>
    </row>
    <row r="13" customFormat="false" ht="15" hidden="false" customHeight="false" outlineLevel="0" collapsed="false">
      <c r="B13" s="5" t="s">
        <v>101</v>
      </c>
      <c r="C13" s="23" t="n">
        <f aca="false">C12*Assumptions!C11</f>
        <v>46500000000</v>
      </c>
      <c r="D13" s="2" t="s">
        <v>102</v>
      </c>
    </row>
    <row r="14" customFormat="false" ht="15" hidden="false" customHeight="false" outlineLevel="0" collapsed="false">
      <c r="B14" s="5" t="s">
        <v>103</v>
      </c>
      <c r="C14" s="23" t="n">
        <f aca="false">C13*Assumptions!C12</f>
        <v>18600000000</v>
      </c>
      <c r="D14" s="2" t="s">
        <v>104</v>
      </c>
    </row>
    <row r="15" customFormat="false" ht="15" hidden="false" customHeight="false" outlineLevel="0" collapsed="false">
      <c r="B15" s="5" t="s">
        <v>105</v>
      </c>
      <c r="C15" s="23" t="n">
        <f aca="false">C14*Assumptions!C13</f>
        <v>18600000</v>
      </c>
      <c r="D15" s="2" t="s">
        <v>106</v>
      </c>
    </row>
    <row r="17" customFormat="false" ht="15" hidden="false" customHeight="false" outlineLevel="0" collapsed="false">
      <c r="B17" s="3" t="s">
        <v>107</v>
      </c>
    </row>
    <row r="18" customFormat="false" ht="15" hidden="false" customHeight="false" outlineLevel="0" collapsed="false">
      <c r="B18" s="5" t="s">
        <v>108</v>
      </c>
      <c r="C18" s="20" t="n">
        <f aca="false">C6*0.79</f>
        <v>206980000</v>
      </c>
      <c r="D18" s="2" t="s">
        <v>109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2"/>
    <col collapsed="false" customWidth="true" hidden="false" outlineLevel="0" max="3" min="3" style="0" width="18"/>
    <col collapsed="false" customWidth="true" hidden="false" outlineLevel="0" max="4" min="4" style="0" width="64"/>
  </cols>
  <sheetData>
    <row r="2" customFormat="false" ht="17.35" hidden="false" customHeight="false" outlineLevel="0" collapsed="false">
      <c r="B2" s="1" t="s">
        <v>110</v>
      </c>
    </row>
    <row r="4" customFormat="false" ht="15" hidden="false" customHeight="false" outlineLevel="0" collapsed="false">
      <c r="B4" s="3" t="s">
        <v>111</v>
      </c>
    </row>
    <row r="5" customFormat="false" ht="15" hidden="false" customHeight="false" outlineLevel="0" collapsed="false">
      <c r="B5" s="5" t="s">
        <v>112</v>
      </c>
      <c r="C5" s="24" t="n">
        <f aca="false">Assumptions!C20*Assumptions!C21*(1-Assumptions!C41)</f>
        <v>0.1453587</v>
      </c>
    </row>
    <row r="6" customFormat="false" ht="15" hidden="false" customHeight="false" outlineLevel="0" collapsed="false">
      <c r="B6" s="5" t="s">
        <v>113</v>
      </c>
      <c r="C6" s="24" t="n">
        <f aca="false">Assumptions!C36*Assumptions!C37</f>
        <v>0.6</v>
      </c>
    </row>
    <row r="7" customFormat="false" ht="15" hidden="false" customHeight="false" outlineLevel="0" collapsed="false">
      <c r="B7" s="5" t="s">
        <v>114</v>
      </c>
      <c r="C7" s="24" t="n">
        <f aca="false">-Assumptions!C40</f>
        <v>-0.15</v>
      </c>
    </row>
    <row r="8" customFormat="false" ht="15" hidden="false" customHeight="false" outlineLevel="0" collapsed="false">
      <c r="B8" s="4" t="s">
        <v>115</v>
      </c>
      <c r="C8" s="25" t="n">
        <f aca="false">C5+C6+C7</f>
        <v>0.5953587</v>
      </c>
    </row>
    <row r="9" customFormat="false" ht="15" hidden="false" customHeight="false" outlineLevel="0" collapsed="false">
      <c r="B9" s="5" t="s">
        <v>116</v>
      </c>
      <c r="C9" s="24" t="n">
        <f aca="false">Assumptions!C23</f>
        <v>2.5</v>
      </c>
    </row>
    <row r="10" customFormat="false" ht="15" hidden="false" customHeight="false" outlineLevel="0" collapsed="false">
      <c r="B10" s="4" t="s">
        <v>117</v>
      </c>
      <c r="C10" s="26" t="n">
        <f aca="false">IF(C8&lt;=0,"n/a",C9/C8)</f>
        <v>4.1991491851887</v>
      </c>
      <c r="D10" s="2" t="s">
        <v>118</v>
      </c>
    </row>
    <row r="12" customFormat="false" ht="15" hidden="false" customHeight="false" outlineLevel="0" collapsed="false">
      <c r="B12" s="3" t="s">
        <v>119</v>
      </c>
    </row>
    <row r="13" customFormat="false" ht="15" hidden="false" customHeight="false" outlineLevel="0" collapsed="false">
      <c r="B13" s="5" t="s">
        <v>120</v>
      </c>
      <c r="C13" s="22" t="n">
        <f aca="false">Assumptions!C30*(1-Assumptions!C41)</f>
        <v>96.129</v>
      </c>
    </row>
    <row r="14" customFormat="false" ht="15" hidden="false" customHeight="false" outlineLevel="0" collapsed="false">
      <c r="B14" s="5" t="s">
        <v>121</v>
      </c>
      <c r="C14" s="27" t="n">
        <f aca="false">IF(Assumptions!C31=0,"n/a",1/Assumptions!C31)</f>
        <v>33.3333333333333</v>
      </c>
    </row>
    <row r="15" customFormat="false" ht="15" hidden="false" customHeight="false" outlineLevel="0" collapsed="false">
      <c r="B15" s="4" t="s">
        <v>122</v>
      </c>
      <c r="C15" s="28" t="n">
        <f aca="false">IF(Assumptions!C31=0,"n/a",C13/Assumptions!C31)</f>
        <v>3204.3</v>
      </c>
    </row>
    <row r="16" customFormat="false" ht="15" hidden="false" customHeight="false" outlineLevel="0" collapsed="false">
      <c r="B16" s="5" t="s">
        <v>123</v>
      </c>
      <c r="C16" s="22" t="n">
        <f aca="false">Assumptions!C32+Assumptions!C33</f>
        <v>450</v>
      </c>
    </row>
    <row r="17" customFormat="false" ht="15" hidden="false" customHeight="false" outlineLevel="0" collapsed="false">
      <c r="B17" s="4" t="s">
        <v>124</v>
      </c>
      <c r="C17" s="29" t="n">
        <f aca="false">IF(C16=0,"n/a",C15/C16)</f>
        <v>7.12066666666667</v>
      </c>
      <c r="D17" s="2" t="s">
        <v>125</v>
      </c>
    </row>
    <row r="18" customFormat="false" ht="15" hidden="false" customHeight="false" outlineLevel="0" collapsed="false">
      <c r="B18" s="4" t="s">
        <v>117</v>
      </c>
      <c r="C18" s="26" t="n">
        <f aca="false">IF(C13=0,"n/a",C16/C13)</f>
        <v>4.68120962456699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K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37" min="2" style="0" width="12"/>
  </cols>
  <sheetData>
    <row r="1" customFormat="false" ht="17.35" hidden="false" customHeight="false" outlineLevel="0" collapsed="false">
      <c r="A1" s="1" t="s">
        <v>126</v>
      </c>
    </row>
    <row r="2" customFormat="false" ht="15" hidden="false" customHeight="false" outlineLevel="0" collapsed="false">
      <c r="A2" s="4" t="s">
        <v>127</v>
      </c>
      <c r="B2" s="30" t="s">
        <v>128</v>
      </c>
      <c r="C2" s="30" t="s">
        <v>129</v>
      </c>
      <c r="D2" s="30" t="s">
        <v>130</v>
      </c>
      <c r="E2" s="30" t="s">
        <v>131</v>
      </c>
      <c r="F2" s="30" t="s">
        <v>132</v>
      </c>
      <c r="G2" s="30" t="s">
        <v>133</v>
      </c>
      <c r="H2" s="30" t="s">
        <v>134</v>
      </c>
      <c r="I2" s="30" t="s">
        <v>135</v>
      </c>
      <c r="J2" s="30" t="s">
        <v>136</v>
      </c>
      <c r="K2" s="30" t="s">
        <v>137</v>
      </c>
      <c r="L2" s="30" t="s">
        <v>138</v>
      </c>
      <c r="M2" s="30" t="s">
        <v>139</v>
      </c>
      <c r="N2" s="30" t="s">
        <v>140</v>
      </c>
      <c r="O2" s="30" t="s">
        <v>141</v>
      </c>
      <c r="P2" s="30" t="s">
        <v>142</v>
      </c>
      <c r="Q2" s="30" t="s">
        <v>143</v>
      </c>
      <c r="R2" s="30" t="s">
        <v>144</v>
      </c>
      <c r="S2" s="30" t="s">
        <v>145</v>
      </c>
      <c r="T2" s="30" t="s">
        <v>146</v>
      </c>
      <c r="U2" s="30" t="s">
        <v>147</v>
      </c>
      <c r="V2" s="30" t="s">
        <v>148</v>
      </c>
      <c r="W2" s="30" t="s">
        <v>149</v>
      </c>
      <c r="X2" s="30" t="s">
        <v>150</v>
      </c>
      <c r="Y2" s="30" t="s">
        <v>151</v>
      </c>
      <c r="Z2" s="30" t="s">
        <v>152</v>
      </c>
      <c r="AA2" s="30" t="s">
        <v>153</v>
      </c>
      <c r="AB2" s="30" t="s">
        <v>154</v>
      </c>
      <c r="AC2" s="30" t="s">
        <v>155</v>
      </c>
      <c r="AD2" s="30" t="s">
        <v>156</v>
      </c>
      <c r="AE2" s="30" t="s">
        <v>157</v>
      </c>
      <c r="AF2" s="30" t="s">
        <v>158</v>
      </c>
      <c r="AG2" s="30" t="s">
        <v>159</v>
      </c>
      <c r="AH2" s="30" t="s">
        <v>160</v>
      </c>
      <c r="AI2" s="30" t="s">
        <v>161</v>
      </c>
      <c r="AJ2" s="30" t="s">
        <v>162</v>
      </c>
      <c r="AK2" s="30" t="s">
        <v>163</v>
      </c>
    </row>
    <row r="3" customFormat="false" ht="15" hidden="false" customHeight="false" outlineLevel="0" collapsed="false">
      <c r="A3" s="5" t="s">
        <v>164</v>
      </c>
      <c r="B3" s="31" t="n">
        <v>1</v>
      </c>
      <c r="C3" s="31" t="n">
        <f aca="false">B3+1</f>
        <v>2</v>
      </c>
      <c r="D3" s="31" t="n">
        <f aca="false">C3+1</f>
        <v>3</v>
      </c>
      <c r="E3" s="31" t="n">
        <f aca="false">D3+1</f>
        <v>4</v>
      </c>
      <c r="F3" s="31" t="n">
        <f aca="false">E3+1</f>
        <v>5</v>
      </c>
      <c r="G3" s="31" t="n">
        <f aca="false">F3+1</f>
        <v>6</v>
      </c>
      <c r="H3" s="31" t="n">
        <f aca="false">G3+1</f>
        <v>7</v>
      </c>
      <c r="I3" s="31" t="n">
        <f aca="false">H3+1</f>
        <v>8</v>
      </c>
      <c r="J3" s="31" t="n">
        <f aca="false">I3+1</f>
        <v>9</v>
      </c>
      <c r="K3" s="31" t="n">
        <f aca="false">J3+1</f>
        <v>10</v>
      </c>
      <c r="L3" s="31" t="n">
        <f aca="false">K3+1</f>
        <v>11</v>
      </c>
      <c r="M3" s="31" t="n">
        <f aca="false">L3+1</f>
        <v>12</v>
      </c>
      <c r="N3" s="31" t="n">
        <f aca="false">M3+1</f>
        <v>13</v>
      </c>
      <c r="O3" s="31" t="n">
        <f aca="false">N3+1</f>
        <v>14</v>
      </c>
      <c r="P3" s="31" t="n">
        <f aca="false">O3+1</f>
        <v>15</v>
      </c>
      <c r="Q3" s="31" t="n">
        <f aca="false">P3+1</f>
        <v>16</v>
      </c>
      <c r="R3" s="31" t="n">
        <f aca="false">Q3+1</f>
        <v>17</v>
      </c>
      <c r="S3" s="31" t="n">
        <f aca="false">R3+1</f>
        <v>18</v>
      </c>
      <c r="T3" s="31" t="n">
        <f aca="false">S3+1</f>
        <v>19</v>
      </c>
      <c r="U3" s="31" t="n">
        <f aca="false">T3+1</f>
        <v>20</v>
      </c>
      <c r="V3" s="31" t="n">
        <f aca="false">U3+1</f>
        <v>21</v>
      </c>
      <c r="W3" s="31" t="n">
        <f aca="false">V3+1</f>
        <v>22</v>
      </c>
      <c r="X3" s="31" t="n">
        <f aca="false">W3+1</f>
        <v>23</v>
      </c>
      <c r="Y3" s="31" t="n">
        <f aca="false">X3+1</f>
        <v>24</v>
      </c>
      <c r="Z3" s="31" t="n">
        <f aca="false">Y3+1</f>
        <v>25</v>
      </c>
      <c r="AA3" s="31" t="n">
        <f aca="false">Z3+1</f>
        <v>26</v>
      </c>
      <c r="AB3" s="31" t="n">
        <f aca="false">AA3+1</f>
        <v>27</v>
      </c>
      <c r="AC3" s="31" t="n">
        <f aca="false">AB3+1</f>
        <v>28</v>
      </c>
      <c r="AD3" s="31" t="n">
        <f aca="false">AC3+1</f>
        <v>29</v>
      </c>
      <c r="AE3" s="31" t="n">
        <f aca="false">AD3+1</f>
        <v>30</v>
      </c>
      <c r="AF3" s="31" t="n">
        <f aca="false">AE3+1</f>
        <v>31</v>
      </c>
      <c r="AG3" s="31" t="n">
        <f aca="false">AF3+1</f>
        <v>32</v>
      </c>
      <c r="AH3" s="31" t="n">
        <f aca="false">AG3+1</f>
        <v>33</v>
      </c>
      <c r="AI3" s="31" t="n">
        <f aca="false">AH3+1</f>
        <v>34</v>
      </c>
      <c r="AJ3" s="31" t="n">
        <f aca="false">AI3+1</f>
        <v>35</v>
      </c>
      <c r="AK3" s="31" t="n">
        <f aca="false">AJ3+1</f>
        <v>36</v>
      </c>
    </row>
    <row r="4" customFormat="false" ht="15" hidden="false" customHeight="false" outlineLevel="0" collapsed="false">
      <c r="A4" s="5" t="s">
        <v>165</v>
      </c>
      <c r="B4" s="31" t="n">
        <v>1</v>
      </c>
      <c r="C4" s="31" t="n">
        <f aca="false">IF(C3&lt;=12,1,IF(C3&lt;=24,2,3))</f>
        <v>1</v>
      </c>
      <c r="D4" s="31" t="n">
        <f aca="false">IF(D3&lt;=12,1,IF(D3&lt;=24,2,3))</f>
        <v>1</v>
      </c>
      <c r="E4" s="31" t="n">
        <f aca="false">IF(E3&lt;=12,1,IF(E3&lt;=24,2,3))</f>
        <v>1</v>
      </c>
      <c r="F4" s="31" t="n">
        <f aca="false">IF(F3&lt;=12,1,IF(F3&lt;=24,2,3))</f>
        <v>1</v>
      </c>
      <c r="G4" s="31" t="n">
        <f aca="false">IF(G3&lt;=12,1,IF(G3&lt;=24,2,3))</f>
        <v>1</v>
      </c>
      <c r="H4" s="31" t="n">
        <f aca="false">IF(H3&lt;=12,1,IF(H3&lt;=24,2,3))</f>
        <v>1</v>
      </c>
      <c r="I4" s="31" t="n">
        <f aca="false">IF(I3&lt;=12,1,IF(I3&lt;=24,2,3))</f>
        <v>1</v>
      </c>
      <c r="J4" s="31" t="n">
        <f aca="false">IF(J3&lt;=12,1,IF(J3&lt;=24,2,3))</f>
        <v>1</v>
      </c>
      <c r="K4" s="31" t="n">
        <f aca="false">IF(K3&lt;=12,1,IF(K3&lt;=24,2,3))</f>
        <v>1</v>
      </c>
      <c r="L4" s="31" t="n">
        <f aca="false">IF(L3&lt;=12,1,IF(L3&lt;=24,2,3))</f>
        <v>1</v>
      </c>
      <c r="M4" s="31" t="n">
        <f aca="false">IF(M3&lt;=12,1,IF(M3&lt;=24,2,3))</f>
        <v>1</v>
      </c>
      <c r="N4" s="31" t="n">
        <f aca="false">IF(N3&lt;=12,1,IF(N3&lt;=24,2,3))</f>
        <v>2</v>
      </c>
      <c r="O4" s="31" t="n">
        <f aca="false">IF(O3&lt;=12,1,IF(O3&lt;=24,2,3))</f>
        <v>2</v>
      </c>
      <c r="P4" s="31" t="n">
        <f aca="false">IF(P3&lt;=12,1,IF(P3&lt;=24,2,3))</f>
        <v>2</v>
      </c>
      <c r="Q4" s="31" t="n">
        <f aca="false">IF(Q3&lt;=12,1,IF(Q3&lt;=24,2,3))</f>
        <v>2</v>
      </c>
      <c r="R4" s="31" t="n">
        <f aca="false">IF(R3&lt;=12,1,IF(R3&lt;=24,2,3))</f>
        <v>2</v>
      </c>
      <c r="S4" s="31" t="n">
        <f aca="false">IF(S3&lt;=12,1,IF(S3&lt;=24,2,3))</f>
        <v>2</v>
      </c>
      <c r="T4" s="31" t="n">
        <f aca="false">IF(T3&lt;=12,1,IF(T3&lt;=24,2,3))</f>
        <v>2</v>
      </c>
      <c r="U4" s="31" t="n">
        <f aca="false">IF(U3&lt;=12,1,IF(U3&lt;=24,2,3))</f>
        <v>2</v>
      </c>
      <c r="V4" s="31" t="n">
        <f aca="false">IF(V3&lt;=12,1,IF(V3&lt;=24,2,3))</f>
        <v>2</v>
      </c>
      <c r="W4" s="31" t="n">
        <f aca="false">IF(W3&lt;=12,1,IF(W3&lt;=24,2,3))</f>
        <v>2</v>
      </c>
      <c r="X4" s="31" t="n">
        <f aca="false">IF(X3&lt;=12,1,IF(X3&lt;=24,2,3))</f>
        <v>2</v>
      </c>
      <c r="Y4" s="31" t="n">
        <f aca="false">IF(Y3&lt;=12,1,IF(Y3&lt;=24,2,3))</f>
        <v>2</v>
      </c>
      <c r="Z4" s="31" t="n">
        <f aca="false">IF(Z3&lt;=12,1,IF(Z3&lt;=24,2,3))</f>
        <v>3</v>
      </c>
      <c r="AA4" s="31" t="n">
        <f aca="false">IF(AA3&lt;=12,1,IF(AA3&lt;=24,2,3))</f>
        <v>3</v>
      </c>
      <c r="AB4" s="31" t="n">
        <f aca="false">IF(AB3&lt;=12,1,IF(AB3&lt;=24,2,3))</f>
        <v>3</v>
      </c>
      <c r="AC4" s="31" t="n">
        <f aca="false">IF(AC3&lt;=12,1,IF(AC3&lt;=24,2,3))</f>
        <v>3</v>
      </c>
      <c r="AD4" s="31" t="n">
        <f aca="false">IF(AD3&lt;=12,1,IF(AD3&lt;=24,2,3))</f>
        <v>3</v>
      </c>
      <c r="AE4" s="31" t="n">
        <f aca="false">IF(AE3&lt;=12,1,IF(AE3&lt;=24,2,3))</f>
        <v>3</v>
      </c>
      <c r="AF4" s="31" t="n">
        <f aca="false">IF(AF3&lt;=12,1,IF(AF3&lt;=24,2,3))</f>
        <v>3</v>
      </c>
      <c r="AG4" s="31" t="n">
        <f aca="false">IF(AG3&lt;=12,1,IF(AG3&lt;=24,2,3))</f>
        <v>3</v>
      </c>
      <c r="AH4" s="31" t="n">
        <f aca="false">IF(AH3&lt;=12,1,IF(AH3&lt;=24,2,3))</f>
        <v>3</v>
      </c>
      <c r="AI4" s="31" t="n">
        <f aca="false">IF(AI3&lt;=12,1,IF(AI3&lt;=24,2,3))</f>
        <v>3</v>
      </c>
      <c r="AJ4" s="31" t="n">
        <f aca="false">IF(AJ3&lt;=12,1,IF(AJ3&lt;=24,2,3))</f>
        <v>3</v>
      </c>
      <c r="AK4" s="31" t="n">
        <f aca="false">IF(AK3&lt;=12,1,IF(AK3&lt;=24,2,3))</f>
        <v>3</v>
      </c>
    </row>
    <row r="5" customFormat="false" ht="15" hidden="false" customHeight="false" outlineLevel="0" collapsed="false">
      <c r="A5" s="4" t="s">
        <v>166</v>
      </c>
      <c r="B5" s="32" t="n">
        <f aca="false">Assumptions!C16</f>
        <v>2000</v>
      </c>
      <c r="C5" s="32" t="n">
        <f aca="false">B5*(1+IF(C4=1,Assumptions!$C$17,IF(C4=2,Assumptions!$C$18,Assumptions!$C$19)))</f>
        <v>2400</v>
      </c>
      <c r="D5" s="32" t="n">
        <f aca="false">C5*(1+IF(D4=1,Assumptions!$C$17,IF(D4=2,Assumptions!$C$18,Assumptions!$C$19)))</f>
        <v>2880</v>
      </c>
      <c r="E5" s="32" t="n">
        <f aca="false">D5*(1+IF(E4=1,Assumptions!$C$17,IF(E4=2,Assumptions!$C$18,Assumptions!$C$19)))</f>
        <v>3456</v>
      </c>
      <c r="F5" s="32" t="n">
        <f aca="false">E5*(1+IF(F4=1,Assumptions!$C$17,IF(F4=2,Assumptions!$C$18,Assumptions!$C$19)))</f>
        <v>4147.2</v>
      </c>
      <c r="G5" s="32" t="n">
        <f aca="false">F5*(1+IF(G4=1,Assumptions!$C$17,IF(G4=2,Assumptions!$C$18,Assumptions!$C$19)))</f>
        <v>4976.64</v>
      </c>
      <c r="H5" s="32" t="n">
        <f aca="false">G5*(1+IF(H4=1,Assumptions!$C$17,IF(H4=2,Assumptions!$C$18,Assumptions!$C$19)))</f>
        <v>5971.968</v>
      </c>
      <c r="I5" s="32" t="n">
        <f aca="false">H5*(1+IF(I4=1,Assumptions!$C$17,IF(I4=2,Assumptions!$C$18,Assumptions!$C$19)))</f>
        <v>7166.3616</v>
      </c>
      <c r="J5" s="32" t="n">
        <f aca="false">I5*(1+IF(J4=1,Assumptions!$C$17,IF(J4=2,Assumptions!$C$18,Assumptions!$C$19)))</f>
        <v>8599.63392</v>
      </c>
      <c r="K5" s="32" t="n">
        <f aca="false">J5*(1+IF(K4=1,Assumptions!$C$17,IF(K4=2,Assumptions!$C$18,Assumptions!$C$19)))</f>
        <v>10319.560704</v>
      </c>
      <c r="L5" s="32" t="n">
        <f aca="false">K5*(1+IF(L4=1,Assumptions!$C$17,IF(L4=2,Assumptions!$C$18,Assumptions!$C$19)))</f>
        <v>12383.4728448</v>
      </c>
      <c r="M5" s="32" t="n">
        <f aca="false">L5*(1+IF(M4=1,Assumptions!$C$17,IF(M4=2,Assumptions!$C$18,Assumptions!$C$19)))</f>
        <v>14860.16741376</v>
      </c>
      <c r="N5" s="32" t="n">
        <f aca="false">M5*(1+IF(N4=1,Assumptions!$C$17,IF(N4=2,Assumptions!$C$18,Assumptions!$C$19)))</f>
        <v>16643.3875034112</v>
      </c>
      <c r="O5" s="32" t="n">
        <f aca="false">N5*(1+IF(O4=1,Assumptions!$C$17,IF(O4=2,Assumptions!$C$18,Assumptions!$C$19)))</f>
        <v>18640.5940038205</v>
      </c>
      <c r="P5" s="32" t="n">
        <f aca="false">O5*(1+IF(P4=1,Assumptions!$C$17,IF(P4=2,Assumptions!$C$18,Assumptions!$C$19)))</f>
        <v>20877.465284279</v>
      </c>
      <c r="Q5" s="32" t="n">
        <f aca="false">P5*(1+IF(Q4=1,Assumptions!$C$17,IF(Q4=2,Assumptions!$C$18,Assumptions!$C$19)))</f>
        <v>23382.7611183925</v>
      </c>
      <c r="R5" s="32" t="n">
        <f aca="false">Q5*(1+IF(R4=1,Assumptions!$C$17,IF(R4=2,Assumptions!$C$18,Assumptions!$C$19)))</f>
        <v>26188.6924525996</v>
      </c>
      <c r="S5" s="32" t="n">
        <f aca="false">R5*(1+IF(S4=1,Assumptions!$C$17,IF(S4=2,Assumptions!$C$18,Assumptions!$C$19)))</f>
        <v>29331.3355469115</v>
      </c>
      <c r="T5" s="32" t="n">
        <f aca="false">S5*(1+IF(T4=1,Assumptions!$C$17,IF(T4=2,Assumptions!$C$18,Assumptions!$C$19)))</f>
        <v>32851.0958125409</v>
      </c>
      <c r="U5" s="32" t="n">
        <f aca="false">T5*(1+IF(U4=1,Assumptions!$C$17,IF(U4=2,Assumptions!$C$18,Assumptions!$C$19)))</f>
        <v>36793.2273100459</v>
      </c>
      <c r="V5" s="32" t="n">
        <f aca="false">U5*(1+IF(V4=1,Assumptions!$C$17,IF(V4=2,Assumptions!$C$18,Assumptions!$C$19)))</f>
        <v>41208.4145872514</v>
      </c>
      <c r="W5" s="32" t="n">
        <f aca="false">V5*(1+IF(W4=1,Assumptions!$C$17,IF(W4=2,Assumptions!$C$18,Assumptions!$C$19)))</f>
        <v>46153.4243377215</v>
      </c>
      <c r="X5" s="32" t="n">
        <f aca="false">W5*(1+IF(X4=1,Assumptions!$C$17,IF(X4=2,Assumptions!$C$18,Assumptions!$C$19)))</f>
        <v>51691.8352582481</v>
      </c>
      <c r="Y5" s="32" t="n">
        <f aca="false">X5*(1+IF(Y4=1,Assumptions!$C$17,IF(Y4=2,Assumptions!$C$18,Assumptions!$C$19)))</f>
        <v>57894.8554892379</v>
      </c>
      <c r="Z5" s="32" t="n">
        <f aca="false">Y5*(1+IF(Z4=1,Assumptions!$C$17,IF(Z4=2,Assumptions!$C$18,Assumptions!$C$19)))</f>
        <v>62526.4439283769</v>
      </c>
      <c r="AA5" s="32" t="n">
        <f aca="false">Z5*(1+IF(AA4=1,Assumptions!$C$17,IF(AA4=2,Assumptions!$C$18,Assumptions!$C$19)))</f>
        <v>67528.5594426471</v>
      </c>
      <c r="AB5" s="32" t="n">
        <f aca="false">AA5*(1+IF(AB4=1,Assumptions!$C$17,IF(AB4=2,Assumptions!$C$18,Assumptions!$C$19)))</f>
        <v>72930.8441980589</v>
      </c>
      <c r="AC5" s="32" t="n">
        <f aca="false">AB5*(1+IF(AC4=1,Assumptions!$C$17,IF(AC4=2,Assumptions!$C$18,Assumptions!$C$19)))</f>
        <v>78765.3117339036</v>
      </c>
      <c r="AD5" s="32" t="n">
        <f aca="false">AC5*(1+IF(AD4=1,Assumptions!$C$17,IF(AD4=2,Assumptions!$C$18,Assumptions!$C$19)))</f>
        <v>85066.5366726159</v>
      </c>
      <c r="AE5" s="32" t="n">
        <f aca="false">AD5*(1+IF(AE4=1,Assumptions!$C$17,IF(AE4=2,Assumptions!$C$18,Assumptions!$C$19)))</f>
        <v>91871.8596064251</v>
      </c>
      <c r="AF5" s="32" t="n">
        <f aca="false">AE5*(1+IF(AF4=1,Assumptions!$C$17,IF(AF4=2,Assumptions!$C$18,Assumptions!$C$19)))</f>
        <v>99221.6083749392</v>
      </c>
      <c r="AG5" s="32" t="n">
        <f aca="false">AF5*(1+IF(AG4=1,Assumptions!$C$17,IF(AG4=2,Assumptions!$C$18,Assumptions!$C$19)))</f>
        <v>107159.337044934</v>
      </c>
      <c r="AH5" s="32" t="n">
        <f aca="false">AG5*(1+IF(AH4=1,Assumptions!$C$17,IF(AH4=2,Assumptions!$C$18,Assumptions!$C$19)))</f>
        <v>115732.084008529</v>
      </c>
      <c r="AI5" s="32" t="n">
        <f aca="false">AH5*(1+IF(AI4=1,Assumptions!$C$17,IF(AI4=2,Assumptions!$C$18,Assumptions!$C$19)))</f>
        <v>124990.650729211</v>
      </c>
      <c r="AJ5" s="32" t="n">
        <f aca="false">AI5*(1+IF(AJ4=1,Assumptions!$C$17,IF(AJ4=2,Assumptions!$C$18,Assumptions!$C$19)))</f>
        <v>134989.902787548</v>
      </c>
      <c r="AK5" s="32" t="n">
        <f aca="false">AJ5*(1+IF(AK4=1,Assumptions!$C$17,IF(AK4=2,Assumptions!$C$18,Assumptions!$C$19)))</f>
        <v>145789.095010552</v>
      </c>
    </row>
    <row r="6" customFormat="false" ht="15" hidden="false" customHeight="false" outlineLevel="0" collapsed="false">
      <c r="A6" s="5" t="s">
        <v>167</v>
      </c>
      <c r="B6" s="31" t="n">
        <f aca="false">B5</f>
        <v>2000</v>
      </c>
      <c r="C6" s="31" t="n">
        <f aca="false">C5-B5</f>
        <v>400</v>
      </c>
      <c r="D6" s="31" t="n">
        <f aca="false">D5-C5</f>
        <v>480</v>
      </c>
      <c r="E6" s="31" t="n">
        <f aca="false">E5-D5</f>
        <v>576</v>
      </c>
      <c r="F6" s="31" t="n">
        <f aca="false">F5-E5</f>
        <v>691.2</v>
      </c>
      <c r="G6" s="31" t="n">
        <f aca="false">G5-F5</f>
        <v>829.44</v>
      </c>
      <c r="H6" s="31" t="n">
        <f aca="false">H5-G5</f>
        <v>995.328</v>
      </c>
      <c r="I6" s="31" t="n">
        <f aca="false">I5-H5</f>
        <v>1194.3936</v>
      </c>
      <c r="J6" s="31" t="n">
        <f aca="false">J5-I5</f>
        <v>1433.27232</v>
      </c>
      <c r="K6" s="31" t="n">
        <f aca="false">K5-J5</f>
        <v>1719.926784</v>
      </c>
      <c r="L6" s="31" t="n">
        <f aca="false">L5-K5</f>
        <v>2063.9121408</v>
      </c>
      <c r="M6" s="31" t="n">
        <f aca="false">M5-L5</f>
        <v>2476.69456896</v>
      </c>
      <c r="N6" s="31" t="n">
        <f aca="false">N5-M5</f>
        <v>1783.2200896512</v>
      </c>
      <c r="O6" s="31" t="n">
        <f aca="false">O5-N5</f>
        <v>1997.20650040935</v>
      </c>
      <c r="P6" s="31" t="n">
        <f aca="false">P5-O5</f>
        <v>2236.87128045847</v>
      </c>
      <c r="Q6" s="31" t="n">
        <f aca="false">Q5-P5</f>
        <v>2505.29583411348</v>
      </c>
      <c r="R6" s="31" t="n">
        <f aca="false">R5-Q5</f>
        <v>2805.9313342071</v>
      </c>
      <c r="S6" s="31" t="n">
        <f aca="false">S5-R5</f>
        <v>3142.64309431195</v>
      </c>
      <c r="T6" s="31" t="n">
        <f aca="false">T5-S5</f>
        <v>3519.76026562939</v>
      </c>
      <c r="U6" s="31" t="n">
        <f aca="false">U5-T5</f>
        <v>3942.13149750492</v>
      </c>
      <c r="V6" s="31" t="n">
        <f aca="false">V5-U5</f>
        <v>4415.18727720551</v>
      </c>
      <c r="W6" s="31" t="n">
        <f aca="false">W5-V5</f>
        <v>4945.00975047017</v>
      </c>
      <c r="X6" s="31" t="n">
        <f aca="false">X5-W5</f>
        <v>5538.41092052659</v>
      </c>
      <c r="Y6" s="31" t="n">
        <f aca="false">Y5-X5</f>
        <v>6203.02023098978</v>
      </c>
      <c r="Z6" s="31" t="n">
        <f aca="false">Z5-Y5</f>
        <v>4631.58843913904</v>
      </c>
      <c r="AA6" s="31" t="n">
        <f aca="false">AA5-Z5</f>
        <v>5002.11551427015</v>
      </c>
      <c r="AB6" s="31" t="n">
        <f aca="false">AB5-AA5</f>
        <v>5402.28475541178</v>
      </c>
      <c r="AC6" s="31" t="n">
        <f aca="false">AC5-AB5</f>
        <v>5834.46753584471</v>
      </c>
      <c r="AD6" s="31" t="n">
        <f aca="false">AD5-AC5</f>
        <v>6301.22493871229</v>
      </c>
      <c r="AE6" s="31" t="n">
        <f aca="false">AE5-AD5</f>
        <v>6805.32293380928</v>
      </c>
      <c r="AF6" s="31" t="n">
        <f aca="false">AF5-AE5</f>
        <v>7349.74876851402</v>
      </c>
      <c r="AG6" s="31" t="n">
        <f aca="false">AG5-AF5</f>
        <v>7937.72866999514</v>
      </c>
      <c r="AH6" s="31" t="n">
        <f aca="false">AH5-AG5</f>
        <v>8572.74696359475</v>
      </c>
      <c r="AI6" s="31" t="n">
        <f aca="false">AI5-AH5</f>
        <v>9258.56672068233</v>
      </c>
      <c r="AJ6" s="31" t="n">
        <f aca="false">AJ5-AI5</f>
        <v>9999.25205833692</v>
      </c>
      <c r="AK6" s="31" t="n">
        <f aca="false">AK5-AJ5</f>
        <v>10799.1922230039</v>
      </c>
    </row>
    <row r="7" customFormat="false" ht="15" hidden="false" customHeight="false" outlineLevel="0" collapsed="false">
      <c r="A7" s="5" t="s">
        <v>168</v>
      </c>
      <c r="B7" s="20" t="n">
        <f aca="false">B5*Assumptions!$C$20</f>
        <v>60</v>
      </c>
      <c r="C7" s="20" t="n">
        <f aca="false">C5*Assumptions!$C$20</f>
        <v>72</v>
      </c>
      <c r="D7" s="20" t="n">
        <f aca="false">D5*Assumptions!$C$20</f>
        <v>86.4</v>
      </c>
      <c r="E7" s="20" t="n">
        <f aca="false">E5*Assumptions!$C$20</f>
        <v>103.68</v>
      </c>
      <c r="F7" s="20" t="n">
        <f aca="false">F5*Assumptions!$C$20</f>
        <v>124.416</v>
      </c>
      <c r="G7" s="20" t="n">
        <f aca="false">G5*Assumptions!$C$20</f>
        <v>149.2992</v>
      </c>
      <c r="H7" s="20" t="n">
        <f aca="false">H5*Assumptions!$C$20</f>
        <v>179.15904</v>
      </c>
      <c r="I7" s="20" t="n">
        <f aca="false">I5*Assumptions!$C$20</f>
        <v>214.990848</v>
      </c>
      <c r="J7" s="20" t="n">
        <f aca="false">J5*Assumptions!$C$20</f>
        <v>257.9890176</v>
      </c>
      <c r="K7" s="20" t="n">
        <f aca="false">K5*Assumptions!$C$20</f>
        <v>309.58682112</v>
      </c>
      <c r="L7" s="20" t="n">
        <f aca="false">L5*Assumptions!$C$20</f>
        <v>371.504185344</v>
      </c>
      <c r="M7" s="20" t="n">
        <f aca="false">M5*Assumptions!$C$20</f>
        <v>445.8050224128</v>
      </c>
      <c r="N7" s="20" t="n">
        <f aca="false">N5*Assumptions!$C$20</f>
        <v>499.301625102336</v>
      </c>
      <c r="O7" s="20" t="n">
        <f aca="false">O5*Assumptions!$C$20</f>
        <v>559.217820114616</v>
      </c>
      <c r="P7" s="20" t="n">
        <f aca="false">P5*Assumptions!$C$20</f>
        <v>626.32395852837</v>
      </c>
      <c r="Q7" s="20" t="n">
        <f aca="false">Q5*Assumptions!$C$20</f>
        <v>701.482833551775</v>
      </c>
      <c r="R7" s="20" t="n">
        <f aca="false">R5*Assumptions!$C$20</f>
        <v>785.660773577988</v>
      </c>
      <c r="S7" s="20" t="n">
        <f aca="false">S5*Assumptions!$C$20</f>
        <v>879.940066407346</v>
      </c>
      <c r="T7" s="20" t="n">
        <f aca="false">T5*Assumptions!$C$20</f>
        <v>985.532874376228</v>
      </c>
      <c r="U7" s="20" t="n">
        <f aca="false">U5*Assumptions!$C$20</f>
        <v>1103.79681930138</v>
      </c>
      <c r="V7" s="20" t="n">
        <f aca="false">V5*Assumptions!$C$20</f>
        <v>1236.25243761754</v>
      </c>
      <c r="W7" s="20" t="n">
        <f aca="false">W5*Assumptions!$C$20</f>
        <v>1384.60273013165</v>
      </c>
      <c r="X7" s="20" t="n">
        <f aca="false">X5*Assumptions!$C$20</f>
        <v>1550.75505774744</v>
      </c>
      <c r="Y7" s="20" t="n">
        <f aca="false">Y5*Assumptions!$C$20</f>
        <v>1736.84566467714</v>
      </c>
      <c r="Z7" s="20" t="n">
        <f aca="false">Z5*Assumptions!$C$20</f>
        <v>1875.79331785131</v>
      </c>
      <c r="AA7" s="20" t="n">
        <f aca="false">AA5*Assumptions!$C$20</f>
        <v>2025.85678327941</v>
      </c>
      <c r="AB7" s="20" t="n">
        <f aca="false">AB5*Assumptions!$C$20</f>
        <v>2187.92532594177</v>
      </c>
      <c r="AC7" s="20" t="n">
        <f aca="false">AC5*Assumptions!$C$20</f>
        <v>2362.95935201711</v>
      </c>
      <c r="AD7" s="20" t="n">
        <f aca="false">AD5*Assumptions!$C$20</f>
        <v>2551.99610017848</v>
      </c>
      <c r="AE7" s="20" t="n">
        <f aca="false">AE5*Assumptions!$C$20</f>
        <v>2756.15578819275</v>
      </c>
      <c r="AF7" s="20" t="n">
        <f aca="false">AF5*Assumptions!$C$20</f>
        <v>2976.64825124817</v>
      </c>
      <c r="AG7" s="20" t="n">
        <f aca="false">AG5*Assumptions!$C$20</f>
        <v>3214.78011134803</v>
      </c>
      <c r="AH7" s="20" t="n">
        <f aca="false">AH5*Assumptions!$C$20</f>
        <v>3471.96252025587</v>
      </c>
      <c r="AI7" s="20" t="n">
        <f aca="false">AI5*Assumptions!$C$20</f>
        <v>3749.71952187634</v>
      </c>
      <c r="AJ7" s="20" t="n">
        <f aca="false">AJ5*Assumptions!$C$20</f>
        <v>4049.69708362645</v>
      </c>
      <c r="AK7" s="20" t="n">
        <f aca="false">AK5*Assumptions!$C$20</f>
        <v>4373.67285031656</v>
      </c>
    </row>
    <row r="8" customFormat="false" ht="15" hidden="false" customHeight="false" outlineLevel="0" collapsed="false">
      <c r="A8" s="5" t="s">
        <v>169</v>
      </c>
      <c r="B8" s="22" t="n">
        <f aca="false">B7*Assumptions!$C$21</f>
        <v>299.4</v>
      </c>
      <c r="C8" s="22" t="n">
        <f aca="false">C7*Assumptions!$C$21</f>
        <v>359.28</v>
      </c>
      <c r="D8" s="22" t="n">
        <f aca="false">D7*Assumptions!$C$21</f>
        <v>431.136</v>
      </c>
      <c r="E8" s="22" t="n">
        <f aca="false">E7*Assumptions!$C$21</f>
        <v>517.3632</v>
      </c>
      <c r="F8" s="22" t="n">
        <f aca="false">F7*Assumptions!$C$21</f>
        <v>620.83584</v>
      </c>
      <c r="G8" s="22" t="n">
        <f aca="false">G7*Assumptions!$C$21</f>
        <v>745.003008</v>
      </c>
      <c r="H8" s="22" t="n">
        <f aca="false">H7*Assumptions!$C$21</f>
        <v>894.0036096</v>
      </c>
      <c r="I8" s="22" t="n">
        <f aca="false">I7*Assumptions!$C$21</f>
        <v>1072.80433152</v>
      </c>
      <c r="J8" s="22" t="n">
        <f aca="false">J7*Assumptions!$C$21</f>
        <v>1287.365197824</v>
      </c>
      <c r="K8" s="22" t="n">
        <f aca="false">K7*Assumptions!$C$21</f>
        <v>1544.8382373888</v>
      </c>
      <c r="L8" s="22" t="n">
        <f aca="false">L7*Assumptions!$C$21</f>
        <v>1853.80588486656</v>
      </c>
      <c r="M8" s="22" t="n">
        <f aca="false">M7*Assumptions!$C$21</f>
        <v>2224.56706183987</v>
      </c>
      <c r="N8" s="22" t="n">
        <f aca="false">N7*Assumptions!$C$21</f>
        <v>2491.51510926066</v>
      </c>
      <c r="O8" s="22" t="n">
        <f aca="false">O7*Assumptions!$C$21</f>
        <v>2790.49692237194</v>
      </c>
      <c r="P8" s="22" t="n">
        <f aca="false">P7*Assumptions!$C$21</f>
        <v>3125.35655305657</v>
      </c>
      <c r="Q8" s="22" t="n">
        <f aca="false">Q7*Assumptions!$C$21</f>
        <v>3500.39933942336</v>
      </c>
      <c r="R8" s="22" t="n">
        <f aca="false">R7*Assumptions!$C$21</f>
        <v>3920.44726015416</v>
      </c>
      <c r="S8" s="22" t="n">
        <f aca="false">S7*Assumptions!$C$21</f>
        <v>4390.90093137266</v>
      </c>
      <c r="T8" s="22" t="n">
        <f aca="false">T7*Assumptions!$C$21</f>
        <v>4917.80904313738</v>
      </c>
      <c r="U8" s="22" t="n">
        <f aca="false">U7*Assumptions!$C$21</f>
        <v>5507.94612831386</v>
      </c>
      <c r="V8" s="22" t="n">
        <f aca="false">V7*Assumptions!$C$21</f>
        <v>6168.89966371153</v>
      </c>
      <c r="W8" s="22" t="n">
        <f aca="false">W7*Assumptions!$C$21</f>
        <v>6909.16762335691</v>
      </c>
      <c r="X8" s="22" t="n">
        <f aca="false">X7*Assumptions!$C$21</f>
        <v>7738.26773815974</v>
      </c>
      <c r="Y8" s="22" t="n">
        <f aca="false">Y7*Assumptions!$C$21</f>
        <v>8666.85986673891</v>
      </c>
      <c r="Z8" s="22" t="n">
        <f aca="false">Z7*Assumptions!$C$21</f>
        <v>9360.20865607803</v>
      </c>
      <c r="AA8" s="22" t="n">
        <f aca="false">AA7*Assumptions!$C$21</f>
        <v>10109.0253485643</v>
      </c>
      <c r="AB8" s="22" t="n">
        <f aca="false">AB7*Assumptions!$C$21</f>
        <v>10917.7473764494</v>
      </c>
      <c r="AC8" s="22" t="n">
        <f aca="false">AC7*Assumptions!$C$21</f>
        <v>11791.1671665654</v>
      </c>
      <c r="AD8" s="22" t="n">
        <f aca="false">AD7*Assumptions!$C$21</f>
        <v>12734.4605398906</v>
      </c>
      <c r="AE8" s="22" t="n">
        <f aca="false">AE7*Assumptions!$C$21</f>
        <v>13753.2173830818</v>
      </c>
      <c r="AF8" s="22" t="n">
        <f aca="false">AF7*Assumptions!$C$21</f>
        <v>14853.4747737284</v>
      </c>
      <c r="AG8" s="22" t="n">
        <f aca="false">AG7*Assumptions!$C$21</f>
        <v>16041.7527556267</v>
      </c>
      <c r="AH8" s="22" t="n">
        <f aca="false">AH7*Assumptions!$C$21</f>
        <v>17325.0929760768</v>
      </c>
      <c r="AI8" s="22" t="n">
        <f aca="false">AI7*Assumptions!$C$21</f>
        <v>18711.1004141629</v>
      </c>
      <c r="AJ8" s="22" t="n">
        <f aca="false">AJ7*Assumptions!$C$21</f>
        <v>20207.988447296</v>
      </c>
      <c r="AK8" s="22" t="n">
        <f aca="false">AK7*Assumptions!$C$21</f>
        <v>21824.6275230797</v>
      </c>
    </row>
    <row r="9" customFormat="false" ht="15" hidden="false" customHeight="false" outlineLevel="0" collapsed="false">
      <c r="A9" s="4" t="s">
        <v>170</v>
      </c>
      <c r="B9" s="32" t="n">
        <f aca="false">Assumptions!C26</f>
        <v>10</v>
      </c>
      <c r="C9" s="32" t="n">
        <f aca="false">B9+IF(C4=1,Assumptions!$C$27,IF(C4=2,Assumptions!$C$28,Assumptions!$C$29))</f>
        <v>18</v>
      </c>
      <c r="D9" s="32" t="n">
        <f aca="false">C9+IF(D4=1,Assumptions!$C$27,IF(D4=2,Assumptions!$C$28,Assumptions!$C$29))</f>
        <v>26</v>
      </c>
      <c r="E9" s="32" t="n">
        <f aca="false">D9+IF(E4=1,Assumptions!$C$27,IF(E4=2,Assumptions!$C$28,Assumptions!$C$29))</f>
        <v>34</v>
      </c>
      <c r="F9" s="32" t="n">
        <f aca="false">E9+IF(F4=1,Assumptions!$C$27,IF(F4=2,Assumptions!$C$28,Assumptions!$C$29))</f>
        <v>42</v>
      </c>
      <c r="G9" s="32" t="n">
        <f aca="false">F9+IF(G4=1,Assumptions!$C$27,IF(G4=2,Assumptions!$C$28,Assumptions!$C$29))</f>
        <v>50</v>
      </c>
      <c r="H9" s="32" t="n">
        <f aca="false">G9+IF(H4=1,Assumptions!$C$27,IF(H4=2,Assumptions!$C$28,Assumptions!$C$29))</f>
        <v>58</v>
      </c>
      <c r="I9" s="32" t="n">
        <f aca="false">H9+IF(I4=1,Assumptions!$C$27,IF(I4=2,Assumptions!$C$28,Assumptions!$C$29))</f>
        <v>66</v>
      </c>
      <c r="J9" s="32" t="n">
        <f aca="false">I9+IF(J4=1,Assumptions!$C$27,IF(J4=2,Assumptions!$C$28,Assumptions!$C$29))</f>
        <v>74</v>
      </c>
      <c r="K9" s="32" t="n">
        <f aca="false">J9+IF(K4=1,Assumptions!$C$27,IF(K4=2,Assumptions!$C$28,Assumptions!$C$29))</f>
        <v>82</v>
      </c>
      <c r="L9" s="32" t="n">
        <f aca="false">K9+IF(L4=1,Assumptions!$C$27,IF(L4=2,Assumptions!$C$28,Assumptions!$C$29))</f>
        <v>90</v>
      </c>
      <c r="M9" s="32" t="n">
        <f aca="false">L9+IF(M4=1,Assumptions!$C$27,IF(M4=2,Assumptions!$C$28,Assumptions!$C$29))</f>
        <v>98</v>
      </c>
      <c r="N9" s="32" t="n">
        <f aca="false">M9+IF(N4=1,Assumptions!$C$27,IF(N4=2,Assumptions!$C$28,Assumptions!$C$29))</f>
        <v>118</v>
      </c>
      <c r="O9" s="32" t="n">
        <f aca="false">N9+IF(O4=1,Assumptions!$C$27,IF(O4=2,Assumptions!$C$28,Assumptions!$C$29))</f>
        <v>138</v>
      </c>
      <c r="P9" s="32" t="n">
        <f aca="false">O9+IF(P4=1,Assumptions!$C$27,IF(P4=2,Assumptions!$C$28,Assumptions!$C$29))</f>
        <v>158</v>
      </c>
      <c r="Q9" s="32" t="n">
        <f aca="false">P9+IF(Q4=1,Assumptions!$C$27,IF(Q4=2,Assumptions!$C$28,Assumptions!$C$29))</f>
        <v>178</v>
      </c>
      <c r="R9" s="32" t="n">
        <f aca="false">Q9+IF(R4=1,Assumptions!$C$27,IF(R4=2,Assumptions!$C$28,Assumptions!$C$29))</f>
        <v>198</v>
      </c>
      <c r="S9" s="32" t="n">
        <f aca="false">R9+IF(S4=1,Assumptions!$C$27,IF(S4=2,Assumptions!$C$28,Assumptions!$C$29))</f>
        <v>218</v>
      </c>
      <c r="T9" s="32" t="n">
        <f aca="false">S9+IF(T4=1,Assumptions!$C$27,IF(T4=2,Assumptions!$C$28,Assumptions!$C$29))</f>
        <v>238</v>
      </c>
      <c r="U9" s="32" t="n">
        <f aca="false">T9+IF(U4=1,Assumptions!$C$27,IF(U4=2,Assumptions!$C$28,Assumptions!$C$29))</f>
        <v>258</v>
      </c>
      <c r="V9" s="32" t="n">
        <f aca="false">U9+IF(V4=1,Assumptions!$C$27,IF(V4=2,Assumptions!$C$28,Assumptions!$C$29))</f>
        <v>278</v>
      </c>
      <c r="W9" s="32" t="n">
        <f aca="false">V9+IF(W4=1,Assumptions!$C$27,IF(W4=2,Assumptions!$C$28,Assumptions!$C$29))</f>
        <v>298</v>
      </c>
      <c r="X9" s="32" t="n">
        <f aca="false">W9+IF(X4=1,Assumptions!$C$27,IF(X4=2,Assumptions!$C$28,Assumptions!$C$29))</f>
        <v>318</v>
      </c>
      <c r="Y9" s="32" t="n">
        <f aca="false">X9+IF(Y4=1,Assumptions!$C$27,IF(Y4=2,Assumptions!$C$28,Assumptions!$C$29))</f>
        <v>338</v>
      </c>
      <c r="Z9" s="32" t="n">
        <f aca="false">Y9+IF(Z4=1,Assumptions!$C$27,IF(Z4=2,Assumptions!$C$28,Assumptions!$C$29))</f>
        <v>378</v>
      </c>
      <c r="AA9" s="32" t="n">
        <f aca="false">Z9+IF(AA4=1,Assumptions!$C$27,IF(AA4=2,Assumptions!$C$28,Assumptions!$C$29))</f>
        <v>418</v>
      </c>
      <c r="AB9" s="32" t="n">
        <f aca="false">AA9+IF(AB4=1,Assumptions!$C$27,IF(AB4=2,Assumptions!$C$28,Assumptions!$C$29))</f>
        <v>458</v>
      </c>
      <c r="AC9" s="32" t="n">
        <f aca="false">AB9+IF(AC4=1,Assumptions!$C$27,IF(AC4=2,Assumptions!$C$28,Assumptions!$C$29))</f>
        <v>498</v>
      </c>
      <c r="AD9" s="32" t="n">
        <f aca="false">AC9+IF(AD4=1,Assumptions!$C$27,IF(AD4=2,Assumptions!$C$28,Assumptions!$C$29))</f>
        <v>538</v>
      </c>
      <c r="AE9" s="32" t="n">
        <f aca="false">AD9+IF(AE4=1,Assumptions!$C$27,IF(AE4=2,Assumptions!$C$28,Assumptions!$C$29))</f>
        <v>578</v>
      </c>
      <c r="AF9" s="32" t="n">
        <f aca="false">AE9+IF(AF4=1,Assumptions!$C$27,IF(AF4=2,Assumptions!$C$28,Assumptions!$C$29))</f>
        <v>618</v>
      </c>
      <c r="AG9" s="32" t="n">
        <f aca="false">AF9+IF(AG4=1,Assumptions!$C$27,IF(AG4=2,Assumptions!$C$28,Assumptions!$C$29))</f>
        <v>658</v>
      </c>
      <c r="AH9" s="32" t="n">
        <f aca="false">AG9+IF(AH4=1,Assumptions!$C$27,IF(AH4=2,Assumptions!$C$28,Assumptions!$C$29))</f>
        <v>698</v>
      </c>
      <c r="AI9" s="32" t="n">
        <f aca="false">AH9+IF(AI4=1,Assumptions!$C$27,IF(AI4=2,Assumptions!$C$28,Assumptions!$C$29))</f>
        <v>738</v>
      </c>
      <c r="AJ9" s="32" t="n">
        <f aca="false">AI9+IF(AJ4=1,Assumptions!$C$27,IF(AJ4=2,Assumptions!$C$28,Assumptions!$C$29))</f>
        <v>778</v>
      </c>
      <c r="AK9" s="32" t="n">
        <f aca="false">AJ9+IF(AK4=1,Assumptions!$C$27,IF(AK4=2,Assumptions!$C$28,Assumptions!$C$29))</f>
        <v>818</v>
      </c>
    </row>
    <row r="10" customFormat="false" ht="15" hidden="false" customHeight="false" outlineLevel="0" collapsed="false">
      <c r="A10" s="5" t="s">
        <v>171</v>
      </c>
      <c r="B10" s="31" t="n">
        <f aca="false">B9</f>
        <v>10</v>
      </c>
      <c r="C10" s="31" t="n">
        <f aca="false">C9-B9</f>
        <v>8</v>
      </c>
      <c r="D10" s="31" t="n">
        <f aca="false">D9-C9</f>
        <v>8</v>
      </c>
      <c r="E10" s="31" t="n">
        <f aca="false">E9-D9</f>
        <v>8</v>
      </c>
      <c r="F10" s="31" t="n">
        <f aca="false">F9-E9</f>
        <v>8</v>
      </c>
      <c r="G10" s="31" t="n">
        <f aca="false">G9-F9</f>
        <v>8</v>
      </c>
      <c r="H10" s="31" t="n">
        <f aca="false">H9-G9</f>
        <v>8</v>
      </c>
      <c r="I10" s="31" t="n">
        <f aca="false">I9-H9</f>
        <v>8</v>
      </c>
      <c r="J10" s="31" t="n">
        <f aca="false">J9-I9</f>
        <v>8</v>
      </c>
      <c r="K10" s="31" t="n">
        <f aca="false">K9-J9</f>
        <v>8</v>
      </c>
      <c r="L10" s="31" t="n">
        <f aca="false">L9-K9</f>
        <v>8</v>
      </c>
      <c r="M10" s="31" t="n">
        <f aca="false">M9-L9</f>
        <v>8</v>
      </c>
      <c r="N10" s="31" t="n">
        <f aca="false">N9-M9</f>
        <v>20</v>
      </c>
      <c r="O10" s="31" t="n">
        <f aca="false">O9-N9</f>
        <v>20</v>
      </c>
      <c r="P10" s="31" t="n">
        <f aca="false">P9-O9</f>
        <v>20</v>
      </c>
      <c r="Q10" s="31" t="n">
        <f aca="false">Q9-P9</f>
        <v>20</v>
      </c>
      <c r="R10" s="31" t="n">
        <f aca="false">R9-Q9</f>
        <v>20</v>
      </c>
      <c r="S10" s="31" t="n">
        <f aca="false">S9-R9</f>
        <v>20</v>
      </c>
      <c r="T10" s="31" t="n">
        <f aca="false">T9-S9</f>
        <v>20</v>
      </c>
      <c r="U10" s="31" t="n">
        <f aca="false">U9-T9</f>
        <v>20</v>
      </c>
      <c r="V10" s="31" t="n">
        <f aca="false">V9-U9</f>
        <v>20</v>
      </c>
      <c r="W10" s="31" t="n">
        <f aca="false">W9-V9</f>
        <v>20</v>
      </c>
      <c r="X10" s="31" t="n">
        <f aca="false">X9-W9</f>
        <v>20</v>
      </c>
      <c r="Y10" s="31" t="n">
        <f aca="false">Y9-X9</f>
        <v>20</v>
      </c>
      <c r="Z10" s="31" t="n">
        <f aca="false">Z9-Y9</f>
        <v>40</v>
      </c>
      <c r="AA10" s="31" t="n">
        <f aca="false">AA9-Z9</f>
        <v>40</v>
      </c>
      <c r="AB10" s="31" t="n">
        <f aca="false">AB9-AA9</f>
        <v>40</v>
      </c>
      <c r="AC10" s="31" t="n">
        <f aca="false">AC9-AB9</f>
        <v>40</v>
      </c>
      <c r="AD10" s="31" t="n">
        <f aca="false">AD9-AC9</f>
        <v>40</v>
      </c>
      <c r="AE10" s="31" t="n">
        <f aca="false">AE9-AD9</f>
        <v>40</v>
      </c>
      <c r="AF10" s="31" t="n">
        <f aca="false">AF9-AE9</f>
        <v>40</v>
      </c>
      <c r="AG10" s="31" t="n">
        <f aca="false">AG9-AF9</f>
        <v>40</v>
      </c>
      <c r="AH10" s="31" t="n">
        <f aca="false">AH9-AG9</f>
        <v>40</v>
      </c>
      <c r="AI10" s="31" t="n">
        <f aca="false">AI9-AH9</f>
        <v>40</v>
      </c>
      <c r="AJ10" s="31" t="n">
        <f aca="false">AJ9-AI9</f>
        <v>40</v>
      </c>
      <c r="AK10" s="31" t="n">
        <f aca="false">AK9-AJ9</f>
        <v>40</v>
      </c>
    </row>
    <row r="11" customFormat="false" ht="15" hidden="false" customHeight="false" outlineLevel="0" collapsed="false">
      <c r="A11" s="5" t="s">
        <v>172</v>
      </c>
      <c r="B11" s="22" t="n">
        <f aca="false">B9*Assumptions!$C$30</f>
        <v>990</v>
      </c>
      <c r="C11" s="22" t="n">
        <f aca="false">C9*Assumptions!$C$30</f>
        <v>1782</v>
      </c>
      <c r="D11" s="22" t="n">
        <f aca="false">D9*Assumptions!$C$30</f>
        <v>2574</v>
      </c>
      <c r="E11" s="22" t="n">
        <f aca="false">E9*Assumptions!$C$30</f>
        <v>3366</v>
      </c>
      <c r="F11" s="22" t="n">
        <f aca="false">F9*Assumptions!$C$30</f>
        <v>4158</v>
      </c>
      <c r="G11" s="22" t="n">
        <f aca="false">G9*Assumptions!$C$30</f>
        <v>4950</v>
      </c>
      <c r="H11" s="22" t="n">
        <f aca="false">H9*Assumptions!$C$30</f>
        <v>5742</v>
      </c>
      <c r="I11" s="22" t="n">
        <f aca="false">I9*Assumptions!$C$30</f>
        <v>6534</v>
      </c>
      <c r="J11" s="22" t="n">
        <f aca="false">J9*Assumptions!$C$30</f>
        <v>7326</v>
      </c>
      <c r="K11" s="22" t="n">
        <f aca="false">K9*Assumptions!$C$30</f>
        <v>8118</v>
      </c>
      <c r="L11" s="22" t="n">
        <f aca="false">L9*Assumptions!$C$30</f>
        <v>8910</v>
      </c>
      <c r="M11" s="22" t="n">
        <f aca="false">M9*Assumptions!$C$30</f>
        <v>9702</v>
      </c>
      <c r="N11" s="22" t="n">
        <f aca="false">N9*Assumptions!$C$30</f>
        <v>11682</v>
      </c>
      <c r="O11" s="22" t="n">
        <f aca="false">O9*Assumptions!$C$30</f>
        <v>13662</v>
      </c>
      <c r="P11" s="22" t="n">
        <f aca="false">P9*Assumptions!$C$30</f>
        <v>15642</v>
      </c>
      <c r="Q11" s="22" t="n">
        <f aca="false">Q9*Assumptions!$C$30</f>
        <v>17622</v>
      </c>
      <c r="R11" s="22" t="n">
        <f aca="false">R9*Assumptions!$C$30</f>
        <v>19602</v>
      </c>
      <c r="S11" s="22" t="n">
        <f aca="false">S9*Assumptions!$C$30</f>
        <v>21582</v>
      </c>
      <c r="T11" s="22" t="n">
        <f aca="false">T9*Assumptions!$C$30</f>
        <v>23562</v>
      </c>
      <c r="U11" s="22" t="n">
        <f aca="false">U9*Assumptions!$C$30</f>
        <v>25542</v>
      </c>
      <c r="V11" s="22" t="n">
        <f aca="false">V9*Assumptions!$C$30</f>
        <v>27522</v>
      </c>
      <c r="W11" s="22" t="n">
        <f aca="false">W9*Assumptions!$C$30</f>
        <v>29502</v>
      </c>
      <c r="X11" s="22" t="n">
        <f aca="false">X9*Assumptions!$C$30</f>
        <v>31482</v>
      </c>
      <c r="Y11" s="22" t="n">
        <f aca="false">Y9*Assumptions!$C$30</f>
        <v>33462</v>
      </c>
      <c r="Z11" s="22" t="n">
        <f aca="false">Z9*Assumptions!$C$30</f>
        <v>37422</v>
      </c>
      <c r="AA11" s="22" t="n">
        <f aca="false">AA9*Assumptions!$C$30</f>
        <v>41382</v>
      </c>
      <c r="AB11" s="22" t="n">
        <f aca="false">AB9*Assumptions!$C$30</f>
        <v>45342</v>
      </c>
      <c r="AC11" s="22" t="n">
        <f aca="false">AC9*Assumptions!$C$30</f>
        <v>49302</v>
      </c>
      <c r="AD11" s="22" t="n">
        <f aca="false">AD9*Assumptions!$C$30</f>
        <v>53262</v>
      </c>
      <c r="AE11" s="22" t="n">
        <f aca="false">AE9*Assumptions!$C$30</f>
        <v>57222</v>
      </c>
      <c r="AF11" s="22" t="n">
        <f aca="false">AF9*Assumptions!$C$30</f>
        <v>61182</v>
      </c>
      <c r="AG11" s="22" t="n">
        <f aca="false">AG9*Assumptions!$C$30</f>
        <v>65142</v>
      </c>
      <c r="AH11" s="22" t="n">
        <f aca="false">AH9*Assumptions!$C$30</f>
        <v>69102</v>
      </c>
      <c r="AI11" s="22" t="n">
        <f aca="false">AI9*Assumptions!$C$30</f>
        <v>73062</v>
      </c>
      <c r="AJ11" s="22" t="n">
        <f aca="false">AJ9*Assumptions!$C$30</f>
        <v>77022</v>
      </c>
      <c r="AK11" s="22" t="n">
        <f aca="false">AK9*Assumptions!$C$30</f>
        <v>80982</v>
      </c>
    </row>
    <row r="12" customFormat="false" ht="15" hidden="false" customHeight="false" outlineLevel="0" collapsed="false">
      <c r="A12" s="5" t="s">
        <v>173</v>
      </c>
      <c r="B12" s="20" t="n">
        <f aca="false">B5*Assumptions!$C$36</f>
        <v>1200</v>
      </c>
      <c r="C12" s="20" t="n">
        <f aca="false">C5*Assumptions!$C$36</f>
        <v>1440</v>
      </c>
      <c r="D12" s="20" t="n">
        <f aca="false">D5*Assumptions!$C$36</f>
        <v>1728</v>
      </c>
      <c r="E12" s="20" t="n">
        <f aca="false">E5*Assumptions!$C$36</f>
        <v>2073.6</v>
      </c>
      <c r="F12" s="20" t="n">
        <f aca="false">F5*Assumptions!$C$36</f>
        <v>2488.32</v>
      </c>
      <c r="G12" s="20" t="n">
        <f aca="false">G5*Assumptions!$C$36</f>
        <v>2985.984</v>
      </c>
      <c r="H12" s="20" t="n">
        <f aca="false">H5*Assumptions!$C$36</f>
        <v>3583.1808</v>
      </c>
      <c r="I12" s="20" t="n">
        <f aca="false">I5*Assumptions!$C$36</f>
        <v>4299.81696</v>
      </c>
      <c r="J12" s="20" t="n">
        <f aca="false">J5*Assumptions!$C$36</f>
        <v>5159.780352</v>
      </c>
      <c r="K12" s="20" t="n">
        <f aca="false">K5*Assumptions!$C$36</f>
        <v>6191.7364224</v>
      </c>
      <c r="L12" s="20" t="n">
        <f aca="false">L5*Assumptions!$C$36</f>
        <v>7430.08370688</v>
      </c>
      <c r="M12" s="20" t="n">
        <f aca="false">M5*Assumptions!$C$36</f>
        <v>8916.100448256</v>
      </c>
      <c r="N12" s="20" t="n">
        <f aca="false">N5*Assumptions!$C$36</f>
        <v>9986.03250204672</v>
      </c>
      <c r="O12" s="20" t="n">
        <f aca="false">O5*Assumptions!$C$36</f>
        <v>11184.3564022923</v>
      </c>
      <c r="P12" s="20" t="n">
        <f aca="false">P5*Assumptions!$C$36</f>
        <v>12526.4791705674</v>
      </c>
      <c r="Q12" s="20" t="n">
        <f aca="false">Q5*Assumptions!$C$36</f>
        <v>14029.6566710355</v>
      </c>
      <c r="R12" s="20" t="n">
        <f aca="false">R5*Assumptions!$C$36</f>
        <v>15713.2154715598</v>
      </c>
      <c r="S12" s="20" t="n">
        <f aca="false">S5*Assumptions!$C$36</f>
        <v>17598.8013281469</v>
      </c>
      <c r="T12" s="20" t="n">
        <f aca="false">T5*Assumptions!$C$36</f>
        <v>19710.6574875246</v>
      </c>
      <c r="U12" s="20" t="n">
        <f aca="false">U5*Assumptions!$C$36</f>
        <v>22075.9363860275</v>
      </c>
      <c r="V12" s="20" t="n">
        <f aca="false">V5*Assumptions!$C$36</f>
        <v>24725.0487523508</v>
      </c>
      <c r="W12" s="20" t="n">
        <f aca="false">W5*Assumptions!$C$36</f>
        <v>27692.0546026329</v>
      </c>
      <c r="X12" s="20" t="n">
        <f aca="false">X5*Assumptions!$C$36</f>
        <v>31015.1011549489</v>
      </c>
      <c r="Y12" s="20" t="n">
        <f aca="false">Y5*Assumptions!$C$36</f>
        <v>34736.9132935427</v>
      </c>
      <c r="Z12" s="20" t="n">
        <f aca="false">Z5*Assumptions!$C$36</f>
        <v>37515.8663570262</v>
      </c>
      <c r="AA12" s="20" t="n">
        <f aca="false">AA5*Assumptions!$C$36</f>
        <v>40517.1356655883</v>
      </c>
      <c r="AB12" s="20" t="n">
        <f aca="false">AB5*Assumptions!$C$36</f>
        <v>43758.5065188353</v>
      </c>
      <c r="AC12" s="20" t="n">
        <f aca="false">AC5*Assumptions!$C$36</f>
        <v>47259.1870403421</v>
      </c>
      <c r="AD12" s="20" t="n">
        <f aca="false">AD5*Assumptions!$C$36</f>
        <v>51039.9220035695</v>
      </c>
      <c r="AE12" s="20" t="n">
        <f aca="false">AE5*Assumptions!$C$36</f>
        <v>55123.1157638551</v>
      </c>
      <c r="AF12" s="20" t="n">
        <f aca="false">AF5*Assumptions!$C$36</f>
        <v>59532.9650249635</v>
      </c>
      <c r="AG12" s="20" t="n">
        <f aca="false">AG5*Assumptions!$C$36</f>
        <v>64295.6022269606</v>
      </c>
      <c r="AH12" s="20" t="n">
        <f aca="false">AH5*Assumptions!$C$36</f>
        <v>69439.2504051174</v>
      </c>
      <c r="AI12" s="20" t="n">
        <f aca="false">AI5*Assumptions!$C$36</f>
        <v>74994.3904375268</v>
      </c>
      <c r="AJ12" s="20" t="n">
        <f aca="false">AJ5*Assumptions!$C$36</f>
        <v>80993.941672529</v>
      </c>
      <c r="AK12" s="20" t="n">
        <f aca="false">AK5*Assumptions!$C$36</f>
        <v>87473.4570063313</v>
      </c>
    </row>
    <row r="13" customFormat="false" ht="15" hidden="false" customHeight="false" outlineLevel="0" collapsed="false">
      <c r="A13" s="5" t="s">
        <v>174</v>
      </c>
      <c r="B13" s="22" t="n">
        <f aca="false">B12*Assumptions!$C$37</f>
        <v>1200</v>
      </c>
      <c r="C13" s="22" t="n">
        <f aca="false">C12*Assumptions!$C$37</f>
        <v>1440</v>
      </c>
      <c r="D13" s="22" t="n">
        <f aca="false">D12*Assumptions!$C$37</f>
        <v>1728</v>
      </c>
      <c r="E13" s="22" t="n">
        <f aca="false">E12*Assumptions!$C$37</f>
        <v>2073.6</v>
      </c>
      <c r="F13" s="22" t="n">
        <f aca="false">F12*Assumptions!$C$37</f>
        <v>2488.32</v>
      </c>
      <c r="G13" s="22" t="n">
        <f aca="false">G12*Assumptions!$C$37</f>
        <v>2985.984</v>
      </c>
      <c r="H13" s="22" t="n">
        <f aca="false">H12*Assumptions!$C$37</f>
        <v>3583.1808</v>
      </c>
      <c r="I13" s="22" t="n">
        <f aca="false">I12*Assumptions!$C$37</f>
        <v>4299.81696</v>
      </c>
      <c r="J13" s="22" t="n">
        <f aca="false">J12*Assumptions!$C$37</f>
        <v>5159.780352</v>
      </c>
      <c r="K13" s="22" t="n">
        <f aca="false">K12*Assumptions!$C$37</f>
        <v>6191.7364224</v>
      </c>
      <c r="L13" s="22" t="n">
        <f aca="false">L12*Assumptions!$C$37</f>
        <v>7430.08370688</v>
      </c>
      <c r="M13" s="22" t="n">
        <f aca="false">M12*Assumptions!$C$37</f>
        <v>8916.100448256</v>
      </c>
      <c r="N13" s="22" t="n">
        <f aca="false">N12*Assumptions!$C$37</f>
        <v>9986.03250204672</v>
      </c>
      <c r="O13" s="22" t="n">
        <f aca="false">O12*Assumptions!$C$37</f>
        <v>11184.3564022923</v>
      </c>
      <c r="P13" s="22" t="n">
        <f aca="false">P12*Assumptions!$C$37</f>
        <v>12526.4791705674</v>
      </c>
      <c r="Q13" s="22" t="n">
        <f aca="false">Q12*Assumptions!$C$37</f>
        <v>14029.6566710355</v>
      </c>
      <c r="R13" s="22" t="n">
        <f aca="false">R12*Assumptions!$C$37</f>
        <v>15713.2154715598</v>
      </c>
      <c r="S13" s="22" t="n">
        <f aca="false">S12*Assumptions!$C$37</f>
        <v>17598.8013281469</v>
      </c>
      <c r="T13" s="22" t="n">
        <f aca="false">T12*Assumptions!$C$37</f>
        <v>19710.6574875246</v>
      </c>
      <c r="U13" s="22" t="n">
        <f aca="false">U12*Assumptions!$C$37</f>
        <v>22075.9363860275</v>
      </c>
      <c r="V13" s="22" t="n">
        <f aca="false">V12*Assumptions!$C$37</f>
        <v>24725.0487523508</v>
      </c>
      <c r="W13" s="22" t="n">
        <f aca="false">W12*Assumptions!$C$37</f>
        <v>27692.0546026329</v>
      </c>
      <c r="X13" s="22" t="n">
        <f aca="false">X12*Assumptions!$C$37</f>
        <v>31015.1011549489</v>
      </c>
      <c r="Y13" s="22" t="n">
        <f aca="false">Y12*Assumptions!$C$37</f>
        <v>34736.9132935427</v>
      </c>
      <c r="Z13" s="22" t="n">
        <f aca="false">Z12*Assumptions!$C$37</f>
        <v>37515.8663570262</v>
      </c>
      <c r="AA13" s="22" t="n">
        <f aca="false">AA12*Assumptions!$C$37</f>
        <v>40517.1356655883</v>
      </c>
      <c r="AB13" s="22" t="n">
        <f aca="false">AB12*Assumptions!$C$37</f>
        <v>43758.5065188353</v>
      </c>
      <c r="AC13" s="22" t="n">
        <f aca="false">AC12*Assumptions!$C$37</f>
        <v>47259.1870403421</v>
      </c>
      <c r="AD13" s="22" t="n">
        <f aca="false">AD12*Assumptions!$C$37</f>
        <v>51039.9220035695</v>
      </c>
      <c r="AE13" s="22" t="n">
        <f aca="false">AE12*Assumptions!$C$37</f>
        <v>55123.1157638551</v>
      </c>
      <c r="AF13" s="22" t="n">
        <f aca="false">AF12*Assumptions!$C$37</f>
        <v>59532.9650249635</v>
      </c>
      <c r="AG13" s="22" t="n">
        <f aca="false">AG12*Assumptions!$C$37</f>
        <v>64295.6022269606</v>
      </c>
      <c r="AH13" s="22" t="n">
        <f aca="false">AH12*Assumptions!$C$37</f>
        <v>69439.2504051174</v>
      </c>
      <c r="AI13" s="22" t="n">
        <f aca="false">AI12*Assumptions!$C$37</f>
        <v>74994.3904375268</v>
      </c>
      <c r="AJ13" s="22" t="n">
        <f aca="false">AJ12*Assumptions!$C$37</f>
        <v>80993.941672529</v>
      </c>
      <c r="AK13" s="22" t="n">
        <f aca="false">AK12*Assumptions!$C$37</f>
        <v>87473.4570063313</v>
      </c>
    </row>
    <row r="14" customFormat="false" ht="15" hidden="false" customHeight="false" outlineLevel="0" collapsed="false">
      <c r="A14" s="4" t="s">
        <v>175</v>
      </c>
      <c r="B14" s="33" t="n">
        <f aca="false">B8+B11+B13</f>
        <v>2489.4</v>
      </c>
      <c r="C14" s="33" t="n">
        <f aca="false">C8+C11+C13</f>
        <v>3581.28</v>
      </c>
      <c r="D14" s="33" t="n">
        <f aca="false">D8+D11+D13</f>
        <v>4733.136</v>
      </c>
      <c r="E14" s="33" t="n">
        <f aca="false">E8+E11+E13</f>
        <v>5956.9632</v>
      </c>
      <c r="F14" s="33" t="n">
        <f aca="false">F8+F11+F13</f>
        <v>7267.15584</v>
      </c>
      <c r="G14" s="33" t="n">
        <f aca="false">G8+G11+G13</f>
        <v>8680.987008</v>
      </c>
      <c r="H14" s="33" t="n">
        <f aca="false">H8+H11+H13</f>
        <v>10219.1844096</v>
      </c>
      <c r="I14" s="33" t="n">
        <f aca="false">I8+I11+I13</f>
        <v>11906.62129152</v>
      </c>
      <c r="J14" s="33" t="n">
        <f aca="false">J8+J11+J13</f>
        <v>13773.145549824</v>
      </c>
      <c r="K14" s="33" t="n">
        <f aca="false">K8+K11+K13</f>
        <v>15854.5746597888</v>
      </c>
      <c r="L14" s="33" t="n">
        <f aca="false">L8+L11+L13</f>
        <v>18193.8895917466</v>
      </c>
      <c r="M14" s="33" t="n">
        <f aca="false">M8+M11+M13</f>
        <v>20842.6675100959</v>
      </c>
      <c r="N14" s="33" t="n">
        <f aca="false">N8+N11+N13</f>
        <v>24159.5476113074</v>
      </c>
      <c r="O14" s="33" t="n">
        <f aca="false">O8+O11+O13</f>
        <v>27636.8533246643</v>
      </c>
      <c r="P14" s="33" t="n">
        <f aca="false">P8+P11+P13</f>
        <v>31293.835723624</v>
      </c>
      <c r="Q14" s="33" t="n">
        <f aca="false">Q8+Q11+Q13</f>
        <v>35152.0560104589</v>
      </c>
      <c r="R14" s="33" t="n">
        <f aca="false">R8+R11+R13</f>
        <v>39235.6627317139</v>
      </c>
      <c r="S14" s="33" t="n">
        <f aca="false">S8+S11+S13</f>
        <v>43571.7022595196</v>
      </c>
      <c r="T14" s="33" t="n">
        <f aca="false">T8+T11+T13</f>
        <v>48190.4665306619</v>
      </c>
      <c r="U14" s="33" t="n">
        <f aca="false">U8+U11+U13</f>
        <v>53125.8825143414</v>
      </c>
      <c r="V14" s="33" t="n">
        <f aca="false">V8+V11+V13</f>
        <v>58415.9484160623</v>
      </c>
      <c r="W14" s="33" t="n">
        <f aca="false">W8+W11+W13</f>
        <v>64103.2222259898</v>
      </c>
      <c r="X14" s="33" t="n">
        <f aca="false">X8+X11+X13</f>
        <v>70235.3688931086</v>
      </c>
      <c r="Y14" s="33" t="n">
        <f aca="false">Y8+Y11+Y13</f>
        <v>76865.7731602817</v>
      </c>
      <c r="Z14" s="33" t="n">
        <f aca="false">Z8+Z11+Z13</f>
        <v>84298.0750131042</v>
      </c>
      <c r="AA14" s="33" t="n">
        <f aca="false">AA8+AA11+AA13</f>
        <v>92008.1610141525</v>
      </c>
      <c r="AB14" s="33" t="n">
        <f aca="false">AB8+AB11+AB13</f>
        <v>100018.253895285</v>
      </c>
      <c r="AC14" s="33" t="n">
        <f aca="false">AC8+AC11+AC13</f>
        <v>108352.354206908</v>
      </c>
      <c r="AD14" s="33" t="n">
        <f aca="false">AD8+AD11+AD13</f>
        <v>117036.38254346</v>
      </c>
      <c r="AE14" s="33" t="n">
        <f aca="false">AE8+AE11+AE13</f>
        <v>126098.333146937</v>
      </c>
      <c r="AF14" s="33" t="n">
        <f aca="false">AF8+AF11+AF13</f>
        <v>135568.439798692</v>
      </c>
      <c r="AG14" s="33" t="n">
        <f aca="false">AG8+AG11+AG13</f>
        <v>145479.354982587</v>
      </c>
      <c r="AH14" s="33" t="n">
        <f aca="false">AH8+AH11+AH13</f>
        <v>155866.343381194</v>
      </c>
      <c r="AI14" s="33" t="n">
        <f aca="false">AI8+AI11+AI13</f>
        <v>166767.49085169</v>
      </c>
      <c r="AJ14" s="33" t="n">
        <f aca="false">AJ8+AJ11+AJ13</f>
        <v>178223.930119825</v>
      </c>
      <c r="AK14" s="33" t="n">
        <f aca="false">AK8+AK11+AK13</f>
        <v>190280.084529411</v>
      </c>
    </row>
    <row r="15" customFormat="false" ht="15" hidden="false" customHeight="false" outlineLevel="0" collapsed="false">
      <c r="A15" s="5" t="s">
        <v>176</v>
      </c>
      <c r="B15" s="22" t="n">
        <f aca="false">B5*Assumptions!$C$40+B10*Assumptions!$C$33+(B8+B11)*Assumptions!$C$41</f>
        <v>1837.3926</v>
      </c>
      <c r="C15" s="22" t="n">
        <f aca="false">C5*Assumptions!$C$40+C10*Assumptions!$C$33+(C8+C11)*Assumptions!$C$41</f>
        <v>1622.09712</v>
      </c>
      <c r="D15" s="22" t="n">
        <f aca="false">D5*Assumptions!$C$40+D10*Assumptions!$C$33+(D8+D11)*Assumptions!$C$41</f>
        <v>1719.148944</v>
      </c>
      <c r="E15" s="22" t="n">
        <f aca="false">E5*Assumptions!$C$40+E10*Assumptions!$C$33+(E8+E11)*Assumptions!$C$41</f>
        <v>1831.0175328</v>
      </c>
      <c r="F15" s="22" t="n">
        <f aca="false">F5*Assumptions!$C$40+F10*Assumptions!$C$33+(F8+F11)*Assumptions!$C$41</f>
        <v>1960.66623936</v>
      </c>
      <c r="G15" s="22" t="n">
        <f aca="false">G5*Assumptions!$C$40+G10*Assumptions!$C$33+(G8+G11)*Assumptions!$C$41</f>
        <v>2111.651087232</v>
      </c>
      <c r="H15" s="22" t="n">
        <f aca="false">H5*Assumptions!$C$40+H10*Assumptions!$C$33+(H8+H11)*Assumptions!$C$41</f>
        <v>2288.2393046784</v>
      </c>
      <c r="I15" s="22" t="n">
        <f aca="false">I5*Assumptions!$C$40+I10*Assumptions!$C$33+(I8+I11)*Assumptions!$C$41</f>
        <v>2495.55156561408</v>
      </c>
      <c r="J15" s="22" t="n">
        <f aca="false">J5*Assumptions!$C$40+J10*Assumptions!$C$33+(J8+J11)*Assumptions!$C$41</f>
        <v>2739.7326787369</v>
      </c>
      <c r="K15" s="22" t="n">
        <f aca="false">K5*Assumptions!$C$40+K10*Assumptions!$C$33+(K8+K11)*Assumptions!$C$41</f>
        <v>3028.15641448427</v>
      </c>
      <c r="L15" s="22" t="n">
        <f aca="false">L5*Assumptions!$C$40+L10*Assumptions!$C$33+(L8+L11)*Assumptions!$C$41</f>
        <v>3369.67129738113</v>
      </c>
      <c r="M15" s="22" t="n">
        <f aca="false">M5*Assumptions!$C$40+M10*Assumptions!$C$33+(M8+M11)*Assumptions!$C$41</f>
        <v>3774.89555685736</v>
      </c>
      <c r="N15" s="22" t="n">
        <f aca="false">N5*Assumptions!$C$40+N10*Assumptions!$C$33+(N8+N11)*Assumptions!$C$41</f>
        <v>5907.54006368024</v>
      </c>
      <c r="O15" s="22" t="n">
        <f aca="false">O5*Assumptions!$C$40+O10*Assumptions!$C$33+(O8+O11)*Assumptions!$C$41</f>
        <v>6273.21151132187</v>
      </c>
      <c r="P15" s="22" t="n">
        <f aca="false">P5*Assumptions!$C$40+P10*Assumptions!$C$33+(P8+P11)*Assumptions!$C$41</f>
        <v>6675.87313268049</v>
      </c>
      <c r="Q15" s="22" t="n">
        <f aca="false">Q5*Assumptions!$C$40+Q10*Assumptions!$C$33+(Q8+Q11)*Assumptions!$C$41</f>
        <v>7119.96374860215</v>
      </c>
      <c r="R15" s="22" t="n">
        <f aca="false">R5*Assumptions!$C$40+R10*Assumptions!$C$33+(R8+R11)*Assumptions!$C$41</f>
        <v>7610.45483843441</v>
      </c>
      <c r="S15" s="22" t="n">
        <f aca="false">S5*Assumptions!$C$40+S10*Assumptions!$C$33+(S8+S11)*Assumptions!$C$41</f>
        <v>8152.91445904654</v>
      </c>
      <c r="T15" s="22" t="n">
        <f aca="false">T5*Assumptions!$C$40+T10*Assumptions!$C$33+(T8+T11)*Assumptions!$C$41</f>
        <v>8753.57883413212</v>
      </c>
      <c r="U15" s="22" t="n">
        <f aca="false">U5*Assumptions!$C$40+U10*Assumptions!$C$33+(U8+U11)*Assumptions!$C$41</f>
        <v>9419.43253422798</v>
      </c>
      <c r="V15" s="22" t="n">
        <f aca="false">V5*Assumptions!$C$40+V10*Assumptions!$C$33+(V8+V11)*Assumptions!$C$41</f>
        <v>10158.2982783353</v>
      </c>
      <c r="W15" s="22" t="n">
        <f aca="false">W5*Assumptions!$C$40+W10*Assumptions!$C$33+(W8+W11)*Assumptions!$C$41</f>
        <v>10978.9375117356</v>
      </c>
      <c r="X15" s="22" t="n">
        <f aca="false">X5*Assumptions!$C$40+X10*Assumptions!$C$33+(X8+X11)*Assumptions!$C$41</f>
        <v>11891.1630531438</v>
      </c>
      <c r="Y15" s="22" t="n">
        <f aca="false">Y5*Assumptions!$C$40+Y10*Assumptions!$C$33+(Y8+Y11)*Assumptions!$C$41</f>
        <v>12905.9652595211</v>
      </c>
      <c r="Z15" s="22" t="n">
        <f aca="false">Z5*Assumptions!$C$40+Z10*Assumptions!$C$33+(Z8+Z11)*Assumptions!$C$41</f>
        <v>16735.6506402828</v>
      </c>
      <c r="AA15" s="22" t="n">
        <f aca="false">AA5*Assumptions!$C$40+AA10*Assumptions!$C$33+(AA8+AA11)*Assumptions!$C$41</f>
        <v>17622.5236515054</v>
      </c>
      <c r="AB15" s="22" t="n">
        <f aca="false">AB5*Assumptions!$C$40+AB10*Assumptions!$C$33+(AB8+AB11)*Assumptions!$C$41</f>
        <v>18571.1593036259</v>
      </c>
      <c r="AC15" s="22" t="n">
        <f aca="false">AC5*Assumptions!$C$40+AC10*Assumptions!$C$33+(AC8+AC11)*Assumptions!$C$41</f>
        <v>19586.4986079159</v>
      </c>
      <c r="AD15" s="22" t="n">
        <f aca="false">AD5*Assumptions!$C$40+AD10*Assumptions!$C$33+(AD8+AD11)*Assumptions!$C$41</f>
        <v>20673.8778565492</v>
      </c>
      <c r="AE15" s="22" t="n">
        <f aca="false">AE5*Assumptions!$C$40+AE10*Assumptions!$C$33+(AE8+AE11)*Assumptions!$C$41</f>
        <v>21839.0602450731</v>
      </c>
      <c r="AF15" s="22" t="n">
        <f aca="false">AF5*Assumptions!$C$40+AF10*Assumptions!$C$33+(AF8+AF11)*Assumptions!$C$41</f>
        <v>23088.270024679</v>
      </c>
      <c r="AG15" s="22" t="n">
        <f aca="false">AG5*Assumptions!$C$40+AG10*Assumptions!$C$33+(AG8+AG11)*Assumptions!$C$41</f>
        <v>24428.2293866533</v>
      </c>
      <c r="AH15" s="22" t="n">
        <f aca="false">AH5*Assumptions!$C$40+AH10*Assumptions!$C$33+(AH8+AH11)*Assumptions!$C$41</f>
        <v>25866.1982975856</v>
      </c>
      <c r="AI15" s="22" t="n">
        <f aca="false">AI5*Assumptions!$C$40+AI10*Assumptions!$C$33+(AI8+AI11)*Assumptions!$C$41</f>
        <v>27410.0175213924</v>
      </c>
      <c r="AJ15" s="22" t="n">
        <f aca="false">AJ5*Assumptions!$C$40+AJ10*Assumptions!$C$33+(AJ8+AJ11)*Assumptions!$C$41</f>
        <v>29068.1550831038</v>
      </c>
      <c r="AK15" s="22" t="n">
        <f aca="false">AK5*Assumptions!$C$40+AK10*Assumptions!$C$33+(AK8+AK11)*Assumptions!$C$41</f>
        <v>30849.7564497521</v>
      </c>
    </row>
    <row r="16" customFormat="false" ht="15" hidden="false" customHeight="false" outlineLevel="0" collapsed="false">
      <c r="A16" s="4" t="s">
        <v>177</v>
      </c>
      <c r="B16" s="28" t="n">
        <f aca="false">B14-B15</f>
        <v>652.0074</v>
      </c>
      <c r="C16" s="28" t="n">
        <f aca="false">C14-C15</f>
        <v>1959.18288</v>
      </c>
      <c r="D16" s="28" t="n">
        <f aca="false">D14-D15</f>
        <v>3013.987056</v>
      </c>
      <c r="E16" s="28" t="n">
        <f aca="false">E14-E15</f>
        <v>4125.9456672</v>
      </c>
      <c r="F16" s="28" t="n">
        <f aca="false">F14-F15</f>
        <v>5306.48960064</v>
      </c>
      <c r="G16" s="28" t="n">
        <f aca="false">G14-G15</f>
        <v>6569.335920768</v>
      </c>
      <c r="H16" s="28" t="n">
        <f aca="false">H14-H15</f>
        <v>7930.9451049216</v>
      </c>
      <c r="I16" s="28" t="n">
        <f aca="false">I14-I15</f>
        <v>9411.06972590592</v>
      </c>
      <c r="J16" s="28" t="n">
        <f aca="false">J14-J15</f>
        <v>11033.4128710871</v>
      </c>
      <c r="K16" s="28" t="n">
        <f aca="false">K14-K15</f>
        <v>12826.4182453045</v>
      </c>
      <c r="L16" s="28" t="n">
        <f aca="false">L14-L15</f>
        <v>14824.2182943654</v>
      </c>
      <c r="M16" s="28" t="n">
        <f aca="false">M14-M15</f>
        <v>17067.7719532385</v>
      </c>
      <c r="N16" s="28" t="n">
        <f aca="false">N14-N15</f>
        <v>18252.0075476271</v>
      </c>
      <c r="O16" s="28" t="n">
        <f aca="false">O14-O15</f>
        <v>21363.6418133424</v>
      </c>
      <c r="P16" s="28" t="n">
        <f aca="false">P14-P15</f>
        <v>24617.9625909435</v>
      </c>
      <c r="Q16" s="28" t="n">
        <f aca="false">Q14-Q15</f>
        <v>28032.0922618567</v>
      </c>
      <c r="R16" s="28" t="n">
        <f aca="false">R14-R15</f>
        <v>31625.2078932795</v>
      </c>
      <c r="S16" s="28" t="n">
        <f aca="false">S14-S15</f>
        <v>35418.787800473</v>
      </c>
      <c r="T16" s="28" t="n">
        <f aca="false">T14-T15</f>
        <v>39436.8876965298</v>
      </c>
      <c r="U16" s="28" t="n">
        <f aca="false">U14-U15</f>
        <v>43706.4499801134</v>
      </c>
      <c r="V16" s="28" t="n">
        <f aca="false">V14-V15</f>
        <v>48257.650137727</v>
      </c>
      <c r="W16" s="28" t="n">
        <f aca="false">W14-W15</f>
        <v>53124.2847142542</v>
      </c>
      <c r="X16" s="28" t="n">
        <f aca="false">X14-X15</f>
        <v>58344.2058399648</v>
      </c>
      <c r="Y16" s="28" t="n">
        <f aca="false">Y14-Y15</f>
        <v>63959.8079007605</v>
      </c>
      <c r="Z16" s="28" t="n">
        <f aca="false">Z14-Z15</f>
        <v>67562.4243728214</v>
      </c>
      <c r="AA16" s="28" t="n">
        <f aca="false">AA14-AA15</f>
        <v>74385.6373626471</v>
      </c>
      <c r="AB16" s="28" t="n">
        <f aca="false">AB14-AB15</f>
        <v>81447.0945916589</v>
      </c>
      <c r="AC16" s="28" t="n">
        <f aca="false">AC14-AC15</f>
        <v>88765.8555989916</v>
      </c>
      <c r="AD16" s="28" t="n">
        <f aca="false">AD14-AD15</f>
        <v>96362.5046869109</v>
      </c>
      <c r="AE16" s="28" t="n">
        <f aca="false">AE14-AE15</f>
        <v>104259.272901864</v>
      </c>
      <c r="AF16" s="28" t="n">
        <f aca="false">AF14-AF15</f>
        <v>112480.169774013</v>
      </c>
      <c r="AG16" s="28" t="n">
        <f aca="false">AG14-AG15</f>
        <v>121051.125595934</v>
      </c>
      <c r="AH16" s="28" t="n">
        <f aca="false">AH14-AH15</f>
        <v>130000.145083609</v>
      </c>
      <c r="AI16" s="28" t="n">
        <f aca="false">AI14-AI15</f>
        <v>139357.473330297</v>
      </c>
      <c r="AJ16" s="28" t="n">
        <f aca="false">AJ14-AJ15</f>
        <v>149155.775036721</v>
      </c>
      <c r="AK16" s="28" t="n">
        <f aca="false">AK14-AK15</f>
        <v>159430.328079659</v>
      </c>
    </row>
    <row r="17" customFormat="false" ht="15" hidden="false" customHeight="false" outlineLevel="0" collapsed="false">
      <c r="A17" s="5" t="s">
        <v>178</v>
      </c>
      <c r="B17" s="34" t="n">
        <f aca="false">IF(B14=0,0,B16/B14)</f>
        <v>0.261913473126055</v>
      </c>
      <c r="C17" s="34" t="n">
        <f aca="false">IF(C14=0,0,C16/C14)</f>
        <v>0.547062190054953</v>
      </c>
      <c r="D17" s="34" t="n">
        <f aca="false">IF(D14=0,0,D16/D14)</f>
        <v>0.636784376362733</v>
      </c>
      <c r="E17" s="34" t="n">
        <f aca="false">IF(E14=0,0,E16/E14)</f>
        <v>0.6926256766535</v>
      </c>
      <c r="F17" s="34" t="n">
        <f aca="false">IF(F14=0,0,F16/F14)</f>
        <v>0.730201707170215</v>
      </c>
      <c r="G17" s="34" t="n">
        <f aca="false">IF(G14=0,0,G16/G14)</f>
        <v>0.756749885089564</v>
      </c>
      <c r="H17" s="34" t="n">
        <f aca="false">IF(H14=0,0,H16/H14)</f>
        <v>0.776083960034149</v>
      </c>
      <c r="I17" s="34" t="n">
        <f aca="false">IF(I14=0,0,I16/I14)</f>
        <v>0.790406404595111</v>
      </c>
      <c r="J17" s="34" t="n">
        <f aca="false">IF(J14=0,0,J16/J14)</f>
        <v>0.80108155621924</v>
      </c>
      <c r="K17" s="34" t="n">
        <f aca="false">IF(K14=0,0,K16/K14)</f>
        <v>0.809004247703696</v>
      </c>
      <c r="L17" s="34" t="n">
        <f aca="false">IF(L14=0,0,L16/L14)</f>
        <v>0.814791043971722</v>
      </c>
      <c r="M17" s="34" t="n">
        <f aca="false">IF(M14=0,0,M16/M14)</f>
        <v>0.818886159603666</v>
      </c>
      <c r="N17" s="34" t="n">
        <f aca="false">IF(N14=0,0,N16/N14)</f>
        <v>0.755478034658425</v>
      </c>
      <c r="O17" s="34" t="n">
        <f aca="false">IF(O14=0,0,O16/O14)</f>
        <v>0.773012815980631</v>
      </c>
      <c r="P17" s="34" t="n">
        <f aca="false">IF(P14=0,0,P16/P14)</f>
        <v>0.786671305120937</v>
      </c>
      <c r="Q17" s="34" t="n">
        <f aca="false">IF(Q14=0,0,Q16/Q14)</f>
        <v>0.797452423651017</v>
      </c>
      <c r="R17" s="34" t="n">
        <f aca="false">IF(R14=0,0,R16/R14)</f>
        <v>0.806032208746587</v>
      </c>
      <c r="S17" s="34" t="n">
        <f aca="false">IF(S14=0,0,S16/S14)</f>
        <v>0.812885105785251</v>
      </c>
      <c r="T17" s="34" t="n">
        <f aca="false">IF(T14=0,0,T16/T14)</f>
        <v>0.818354552999346</v>
      </c>
      <c r="U17" s="34" t="n">
        <f aca="false">IF(U14=0,0,U16/U14)</f>
        <v>0.822695980030352</v>
      </c>
      <c r="V17" s="34" t="n">
        <f aca="false">IF(V14=0,0,V16/V14)</f>
        <v>0.82610402546264</v>
      </c>
      <c r="W17" s="34" t="n">
        <f aca="false">IF(W14=0,0,W16/W14)</f>
        <v>0.82873033319557</v>
      </c>
      <c r="X17" s="34" t="n">
        <f aca="false">IF(X14=0,0,X16/X14)</f>
        <v>0.830695513662909</v>
      </c>
      <c r="Y17" s="34" t="n">
        <f aca="false">IF(Y14=0,0,Y16/Y14)</f>
        <v>0.832097372746002</v>
      </c>
      <c r="Z17" s="34" t="n">
        <f aca="false">IF(Z14=0,0,Z16/Z14)</f>
        <v>0.801470547961134</v>
      </c>
      <c r="AA17" s="34" t="n">
        <f aca="false">IF(AA14=0,0,AA16/AA14)</f>
        <v>0.808467820057889</v>
      </c>
      <c r="AB17" s="34" t="n">
        <f aca="false">IF(AB14=0,0,AB16/AB14)</f>
        <v>0.814322300376598</v>
      </c>
      <c r="AC17" s="34" t="n">
        <f aca="false">IF(AC14=0,0,AC16/AC14)</f>
        <v>0.819233289841456</v>
      </c>
      <c r="AD17" s="34" t="n">
        <f aca="false">IF(AD14=0,0,AD16/AD14)</f>
        <v>0.823355119089808</v>
      </c>
      <c r="AE17" s="34" t="n">
        <f aca="false">IF(AE14=0,0,AE16/AE14)</f>
        <v>0.826809286847392</v>
      </c>
      <c r="AF17" s="34" t="n">
        <f aca="false">IF(AF14=0,0,AF16/AF14)</f>
        <v>0.829692883838132</v>
      </c>
      <c r="AG17" s="34" t="n">
        <f aca="false">IF(AG14=0,0,AG16/AG14)</f>
        <v>0.832084563548022</v>
      </c>
      <c r="AH17" s="34" t="n">
        <f aca="false">IF(AH14=0,0,AH16/AH14)</f>
        <v>0.834048854060007</v>
      </c>
      <c r="AI17" s="34" t="n">
        <f aca="false">IF(AI14=0,0,AI16/AI14)</f>
        <v>0.835639324058855</v>
      </c>
      <c r="AJ17" s="34" t="n">
        <f aca="false">IF(AJ14=0,0,AJ16/AJ14)</f>
        <v>0.836900942182341</v>
      </c>
      <c r="AK17" s="34" t="n">
        <f aca="false">IF(AK14=0,0,AK16/AK14)</f>
        <v>0.837871858602292</v>
      </c>
    </row>
    <row r="18" customFormat="false" ht="15" hidden="false" customHeight="false" outlineLevel="0" collapsed="false">
      <c r="A18" s="5" t="s">
        <v>179</v>
      </c>
      <c r="B18" s="22" t="n">
        <f aca="false">B6*Assumptions!$C$23+B10*Assumptions!$C$32</f>
        <v>8000</v>
      </c>
      <c r="C18" s="22" t="n">
        <f aca="false">C6*Assumptions!$C$23+C10*Assumptions!$C$32</f>
        <v>3400</v>
      </c>
      <c r="D18" s="22" t="n">
        <f aca="false">D6*Assumptions!$C$23+D10*Assumptions!$C$32</f>
        <v>3600</v>
      </c>
      <c r="E18" s="22" t="n">
        <f aca="false">E6*Assumptions!$C$23+E10*Assumptions!$C$32</f>
        <v>3840</v>
      </c>
      <c r="F18" s="22" t="n">
        <f aca="false">F6*Assumptions!$C$23+F10*Assumptions!$C$32</f>
        <v>4128</v>
      </c>
      <c r="G18" s="22" t="n">
        <f aca="false">G6*Assumptions!$C$23+G10*Assumptions!$C$32</f>
        <v>4473.6</v>
      </c>
      <c r="H18" s="22" t="n">
        <f aca="false">H6*Assumptions!$C$23+H10*Assumptions!$C$32</f>
        <v>4888.32</v>
      </c>
      <c r="I18" s="22" t="n">
        <f aca="false">I6*Assumptions!$C$23+I10*Assumptions!$C$32</f>
        <v>5385.984</v>
      </c>
      <c r="J18" s="22" t="n">
        <f aca="false">J6*Assumptions!$C$23+J10*Assumptions!$C$32</f>
        <v>5983.1808</v>
      </c>
      <c r="K18" s="22" t="n">
        <f aca="false">K6*Assumptions!$C$23+K10*Assumptions!$C$32</f>
        <v>6699.81696</v>
      </c>
      <c r="L18" s="22" t="n">
        <f aca="false">L6*Assumptions!$C$23+L10*Assumptions!$C$32</f>
        <v>7559.780352</v>
      </c>
      <c r="M18" s="22" t="n">
        <f aca="false">M6*Assumptions!$C$23+M10*Assumptions!$C$32</f>
        <v>8591.73642239999</v>
      </c>
      <c r="N18" s="22" t="n">
        <f aca="false">N6*Assumptions!$C$23+N10*Assumptions!$C$32</f>
        <v>10458.050224128</v>
      </c>
      <c r="O18" s="22" t="n">
        <f aca="false">O6*Assumptions!$C$23+O10*Assumptions!$C$32</f>
        <v>10993.0162510234</v>
      </c>
      <c r="P18" s="22" t="n">
        <f aca="false">P6*Assumptions!$C$23+P10*Assumptions!$C$32</f>
        <v>11592.1782011462</v>
      </c>
      <c r="Q18" s="22" t="n">
        <f aca="false">Q6*Assumptions!$C$23+Q10*Assumptions!$C$32</f>
        <v>12263.2395852837</v>
      </c>
      <c r="R18" s="22" t="n">
        <f aca="false">R6*Assumptions!$C$23+R10*Assumptions!$C$32</f>
        <v>13014.8283355178</v>
      </c>
      <c r="S18" s="22" t="n">
        <f aca="false">S6*Assumptions!$C$23+S10*Assumptions!$C$32</f>
        <v>13856.6077357799</v>
      </c>
      <c r="T18" s="22" t="n">
        <f aca="false">T6*Assumptions!$C$23+T10*Assumptions!$C$32</f>
        <v>14799.4006640735</v>
      </c>
      <c r="U18" s="22" t="n">
        <f aca="false">U6*Assumptions!$C$23+U10*Assumptions!$C$32</f>
        <v>15855.3287437623</v>
      </c>
      <c r="V18" s="22" t="n">
        <f aca="false">V6*Assumptions!$C$23+V10*Assumptions!$C$32</f>
        <v>17037.9681930138</v>
      </c>
      <c r="W18" s="22" t="n">
        <f aca="false">W6*Assumptions!$C$23+W10*Assumptions!$C$32</f>
        <v>18362.5243761754</v>
      </c>
      <c r="X18" s="22" t="n">
        <f aca="false">X6*Assumptions!$C$23+X10*Assumptions!$C$32</f>
        <v>19846.0273013165</v>
      </c>
      <c r="Y18" s="22" t="n">
        <f aca="false">Y6*Assumptions!$C$23+Y10*Assumptions!$C$32</f>
        <v>21507.5505774745</v>
      </c>
      <c r="Z18" s="22" t="n">
        <f aca="false">Z6*Assumptions!$C$23+Z10*Assumptions!$C$32</f>
        <v>23578.9710978476</v>
      </c>
      <c r="AA18" s="22" t="n">
        <f aca="false">AA6*Assumptions!$C$23+AA10*Assumptions!$C$32</f>
        <v>24505.2887856754</v>
      </c>
      <c r="AB18" s="22" t="n">
        <f aca="false">AB6*Assumptions!$C$23+AB10*Assumptions!$C$32</f>
        <v>25505.7118885294</v>
      </c>
      <c r="AC18" s="22" t="n">
        <f aca="false">AC6*Assumptions!$C$23+AC10*Assumptions!$C$32</f>
        <v>26586.1688396118</v>
      </c>
      <c r="AD18" s="22" t="n">
        <f aca="false">AD6*Assumptions!$C$23+AD10*Assumptions!$C$32</f>
        <v>27753.0623467807</v>
      </c>
      <c r="AE18" s="22" t="n">
        <f aca="false">AE6*Assumptions!$C$23+AE10*Assumptions!$C$32</f>
        <v>29013.3073345232</v>
      </c>
      <c r="AF18" s="22" t="n">
        <f aca="false">AF6*Assumptions!$C$23+AF10*Assumptions!$C$32</f>
        <v>30374.3719212851</v>
      </c>
      <c r="AG18" s="22" t="n">
        <f aca="false">AG6*Assumptions!$C$23+AG10*Assumptions!$C$32</f>
        <v>31844.3216749878</v>
      </c>
      <c r="AH18" s="22" t="n">
        <f aca="false">AH6*Assumptions!$C$23+AH10*Assumptions!$C$32</f>
        <v>33431.8674089869</v>
      </c>
      <c r="AI18" s="22" t="n">
        <f aca="false">AI6*Assumptions!$C$23+AI10*Assumptions!$C$32</f>
        <v>35146.4168017058</v>
      </c>
      <c r="AJ18" s="22" t="n">
        <f aca="false">AJ6*Assumptions!$C$23+AJ10*Assumptions!$C$32</f>
        <v>36998.1301458423</v>
      </c>
      <c r="AK18" s="22" t="n">
        <f aca="false">AK6*Assumptions!$C$23+AK10*Assumptions!$C$32</f>
        <v>38997.9805575097</v>
      </c>
    </row>
    <row r="19" customFormat="false" ht="15" hidden="false" customHeight="false" outlineLevel="0" collapsed="false">
      <c r="A19" s="5" t="s">
        <v>180</v>
      </c>
      <c r="B19" s="22" t="n">
        <f aca="false">IF(B4=1,Assumptions!$C$42,IF(B4=2,Assumptions!$C$43,Assumptions!$C$44))</f>
        <v>25000</v>
      </c>
      <c r="C19" s="22" t="n">
        <f aca="false">IF(C4=1,Assumptions!$C$42,IF(C4=2,Assumptions!$C$43,Assumptions!$C$44))</f>
        <v>25000</v>
      </c>
      <c r="D19" s="22" t="n">
        <f aca="false">IF(D4=1,Assumptions!$C$42,IF(D4=2,Assumptions!$C$43,Assumptions!$C$44))</f>
        <v>25000</v>
      </c>
      <c r="E19" s="22" t="n">
        <f aca="false">IF(E4=1,Assumptions!$C$42,IF(E4=2,Assumptions!$C$43,Assumptions!$C$44))</f>
        <v>25000</v>
      </c>
      <c r="F19" s="22" t="n">
        <f aca="false">IF(F4=1,Assumptions!$C$42,IF(F4=2,Assumptions!$C$43,Assumptions!$C$44))</f>
        <v>25000</v>
      </c>
      <c r="G19" s="22" t="n">
        <f aca="false">IF(G4=1,Assumptions!$C$42,IF(G4=2,Assumptions!$C$43,Assumptions!$C$44))</f>
        <v>25000</v>
      </c>
      <c r="H19" s="22" t="n">
        <f aca="false">IF(H4=1,Assumptions!$C$42,IF(H4=2,Assumptions!$C$43,Assumptions!$C$44))</f>
        <v>25000</v>
      </c>
      <c r="I19" s="22" t="n">
        <f aca="false">IF(I4=1,Assumptions!$C$42,IF(I4=2,Assumptions!$C$43,Assumptions!$C$44))</f>
        <v>25000</v>
      </c>
      <c r="J19" s="22" t="n">
        <f aca="false">IF(J4=1,Assumptions!$C$42,IF(J4=2,Assumptions!$C$43,Assumptions!$C$44))</f>
        <v>25000</v>
      </c>
      <c r="K19" s="22" t="n">
        <f aca="false">IF(K4=1,Assumptions!$C$42,IF(K4=2,Assumptions!$C$43,Assumptions!$C$44))</f>
        <v>25000</v>
      </c>
      <c r="L19" s="22" t="n">
        <f aca="false">IF(L4=1,Assumptions!$C$42,IF(L4=2,Assumptions!$C$43,Assumptions!$C$44))</f>
        <v>25000</v>
      </c>
      <c r="M19" s="22" t="n">
        <f aca="false">IF(M4=1,Assumptions!$C$42,IF(M4=2,Assumptions!$C$43,Assumptions!$C$44))</f>
        <v>25000</v>
      </c>
      <c r="N19" s="22" t="n">
        <f aca="false">IF(N4=1,Assumptions!$C$42,IF(N4=2,Assumptions!$C$43,Assumptions!$C$44))</f>
        <v>45000</v>
      </c>
      <c r="O19" s="22" t="n">
        <f aca="false">IF(O4=1,Assumptions!$C$42,IF(O4=2,Assumptions!$C$43,Assumptions!$C$44))</f>
        <v>45000</v>
      </c>
      <c r="P19" s="22" t="n">
        <f aca="false">IF(P4=1,Assumptions!$C$42,IF(P4=2,Assumptions!$C$43,Assumptions!$C$44))</f>
        <v>45000</v>
      </c>
      <c r="Q19" s="22" t="n">
        <f aca="false">IF(Q4=1,Assumptions!$C$42,IF(Q4=2,Assumptions!$C$43,Assumptions!$C$44))</f>
        <v>45000</v>
      </c>
      <c r="R19" s="22" t="n">
        <f aca="false">IF(R4=1,Assumptions!$C$42,IF(R4=2,Assumptions!$C$43,Assumptions!$C$44))</f>
        <v>45000</v>
      </c>
      <c r="S19" s="22" t="n">
        <f aca="false">IF(S4=1,Assumptions!$C$42,IF(S4=2,Assumptions!$C$43,Assumptions!$C$44))</f>
        <v>45000</v>
      </c>
      <c r="T19" s="22" t="n">
        <f aca="false">IF(T4=1,Assumptions!$C$42,IF(T4=2,Assumptions!$C$43,Assumptions!$C$44))</f>
        <v>45000</v>
      </c>
      <c r="U19" s="22" t="n">
        <f aca="false">IF(U4=1,Assumptions!$C$42,IF(U4=2,Assumptions!$C$43,Assumptions!$C$44))</f>
        <v>45000</v>
      </c>
      <c r="V19" s="22" t="n">
        <f aca="false">IF(V4=1,Assumptions!$C$42,IF(V4=2,Assumptions!$C$43,Assumptions!$C$44))</f>
        <v>45000</v>
      </c>
      <c r="W19" s="22" t="n">
        <f aca="false">IF(W4=1,Assumptions!$C$42,IF(W4=2,Assumptions!$C$43,Assumptions!$C$44))</f>
        <v>45000</v>
      </c>
      <c r="X19" s="22" t="n">
        <f aca="false">IF(X4=1,Assumptions!$C$42,IF(X4=2,Assumptions!$C$43,Assumptions!$C$44))</f>
        <v>45000</v>
      </c>
      <c r="Y19" s="22" t="n">
        <f aca="false">IF(Y4=1,Assumptions!$C$42,IF(Y4=2,Assumptions!$C$43,Assumptions!$C$44))</f>
        <v>45000</v>
      </c>
      <c r="Z19" s="22" t="n">
        <f aca="false">IF(Z4=1,Assumptions!$C$42,IF(Z4=2,Assumptions!$C$43,Assumptions!$C$44))</f>
        <v>70000</v>
      </c>
      <c r="AA19" s="22" t="n">
        <f aca="false">IF(AA4=1,Assumptions!$C$42,IF(AA4=2,Assumptions!$C$43,Assumptions!$C$44))</f>
        <v>70000</v>
      </c>
      <c r="AB19" s="22" t="n">
        <f aca="false">IF(AB4=1,Assumptions!$C$42,IF(AB4=2,Assumptions!$C$43,Assumptions!$C$44))</f>
        <v>70000</v>
      </c>
      <c r="AC19" s="22" t="n">
        <f aca="false">IF(AC4=1,Assumptions!$C$42,IF(AC4=2,Assumptions!$C$43,Assumptions!$C$44))</f>
        <v>70000</v>
      </c>
      <c r="AD19" s="22" t="n">
        <f aca="false">IF(AD4=1,Assumptions!$C$42,IF(AD4=2,Assumptions!$C$43,Assumptions!$C$44))</f>
        <v>70000</v>
      </c>
      <c r="AE19" s="22" t="n">
        <f aca="false">IF(AE4=1,Assumptions!$C$42,IF(AE4=2,Assumptions!$C$43,Assumptions!$C$44))</f>
        <v>70000</v>
      </c>
      <c r="AF19" s="22" t="n">
        <f aca="false">IF(AF4=1,Assumptions!$C$42,IF(AF4=2,Assumptions!$C$43,Assumptions!$C$44))</f>
        <v>70000</v>
      </c>
      <c r="AG19" s="22" t="n">
        <f aca="false">IF(AG4=1,Assumptions!$C$42,IF(AG4=2,Assumptions!$C$43,Assumptions!$C$44))</f>
        <v>70000</v>
      </c>
      <c r="AH19" s="22" t="n">
        <f aca="false">IF(AH4=1,Assumptions!$C$42,IF(AH4=2,Assumptions!$C$43,Assumptions!$C$44))</f>
        <v>70000</v>
      </c>
      <c r="AI19" s="22" t="n">
        <f aca="false">IF(AI4=1,Assumptions!$C$42,IF(AI4=2,Assumptions!$C$43,Assumptions!$C$44))</f>
        <v>70000</v>
      </c>
      <c r="AJ19" s="22" t="n">
        <f aca="false">IF(AJ4=1,Assumptions!$C$42,IF(AJ4=2,Assumptions!$C$43,Assumptions!$C$44))</f>
        <v>70000</v>
      </c>
      <c r="AK19" s="22" t="n">
        <f aca="false">IF(AK4=1,Assumptions!$C$42,IF(AK4=2,Assumptions!$C$43,Assumptions!$C$44))</f>
        <v>70000</v>
      </c>
    </row>
    <row r="20" customFormat="false" ht="15" hidden="false" customHeight="false" outlineLevel="0" collapsed="false">
      <c r="A20" s="4" t="s">
        <v>181</v>
      </c>
      <c r="B20" s="33" t="n">
        <f aca="false">B16-B18-B19</f>
        <v>-32347.9926</v>
      </c>
      <c r="C20" s="33" t="n">
        <f aca="false">C16-C18-C19</f>
        <v>-26440.81712</v>
      </c>
      <c r="D20" s="33" t="n">
        <f aca="false">D16-D18-D19</f>
        <v>-25586.012944</v>
      </c>
      <c r="E20" s="33" t="n">
        <f aca="false">E16-E18-E19</f>
        <v>-24714.0543328</v>
      </c>
      <c r="F20" s="33" t="n">
        <f aca="false">F16-F18-F19</f>
        <v>-23821.51039936</v>
      </c>
      <c r="G20" s="33" t="n">
        <f aca="false">G16-G18-G19</f>
        <v>-22904.264079232</v>
      </c>
      <c r="H20" s="33" t="n">
        <f aca="false">H16-H18-H19</f>
        <v>-21957.3748950784</v>
      </c>
      <c r="I20" s="33" t="n">
        <f aca="false">I16-I18-I19</f>
        <v>-20974.9142740941</v>
      </c>
      <c r="J20" s="33" t="n">
        <f aca="false">J16-J18-J19</f>
        <v>-19949.7679289129</v>
      </c>
      <c r="K20" s="33" t="n">
        <f aca="false">K16-K18-K19</f>
        <v>-18873.3987146955</v>
      </c>
      <c r="L20" s="33" t="n">
        <f aca="false">L16-L18-L19</f>
        <v>-17735.5620576346</v>
      </c>
      <c r="M20" s="33" t="n">
        <f aca="false">M16-M18-M19</f>
        <v>-16523.9644691615</v>
      </c>
      <c r="N20" s="33" t="n">
        <f aca="false">N16-N18-N19</f>
        <v>-37206.0426765009</v>
      </c>
      <c r="O20" s="33" t="n">
        <f aca="false">O16-O18-O19</f>
        <v>-34629.374437681</v>
      </c>
      <c r="P20" s="33" t="n">
        <f aca="false">P16-P18-P19</f>
        <v>-31974.2156102027</v>
      </c>
      <c r="Q20" s="33" t="n">
        <f aca="false">Q16-Q18-Q19</f>
        <v>-29231.147323427</v>
      </c>
      <c r="R20" s="33" t="n">
        <f aca="false">R16-R18-R19</f>
        <v>-26389.6204422382</v>
      </c>
      <c r="S20" s="33" t="n">
        <f aca="false">S16-S18-S19</f>
        <v>-23437.8199353068</v>
      </c>
      <c r="T20" s="33" t="n">
        <f aca="false">T16-T18-T19</f>
        <v>-20362.5129675437</v>
      </c>
      <c r="U20" s="33" t="n">
        <f aca="false">U16-U18-U19</f>
        <v>-17148.8787636489</v>
      </c>
      <c r="V20" s="33" t="n">
        <f aca="false">V16-V18-V19</f>
        <v>-13780.3180552868</v>
      </c>
      <c r="W20" s="33" t="n">
        <f aca="false">W16-W18-W19</f>
        <v>-10238.2396619212</v>
      </c>
      <c r="X20" s="33" t="n">
        <f aca="false">X16-X18-X19</f>
        <v>-6501.82146135171</v>
      </c>
      <c r="Y20" s="33" t="n">
        <f aca="false">Y16-Y18-Y19</f>
        <v>-2547.74267671391</v>
      </c>
      <c r="Z20" s="33" t="n">
        <f aca="false">Z16-Z18-Z19</f>
        <v>-26016.5467250262</v>
      </c>
      <c r="AA20" s="33" t="n">
        <f aca="false">AA16-AA18-AA19</f>
        <v>-20119.6514230283</v>
      </c>
      <c r="AB20" s="33" t="n">
        <f aca="false">AB16-AB18-AB19</f>
        <v>-14058.6172968706</v>
      </c>
      <c r="AC20" s="33" t="n">
        <f aca="false">AC16-AC18-AC19</f>
        <v>-7820.31324062021</v>
      </c>
      <c r="AD20" s="33" t="n">
        <f aca="false">AD16-AD18-AD19</f>
        <v>-1390.55765986981</v>
      </c>
      <c r="AE20" s="33" t="n">
        <f aca="false">AE16-AE18-AE19</f>
        <v>5245.96556734059</v>
      </c>
      <c r="AF20" s="33" t="n">
        <f aca="false">AF16-AF18-AF19</f>
        <v>12105.7978527278</v>
      </c>
      <c r="AG20" s="33" t="n">
        <f aca="false">AG16-AG18-AG19</f>
        <v>19206.8039209461</v>
      </c>
      <c r="AH20" s="33" t="n">
        <f aca="false">AH16-AH18-AH19</f>
        <v>26568.2776746218</v>
      </c>
      <c r="AI20" s="33" t="n">
        <f aca="false">AI16-AI18-AI19</f>
        <v>34211.0565285915</v>
      </c>
      <c r="AJ20" s="33" t="n">
        <f aca="false">AJ16-AJ18-AJ19</f>
        <v>42157.6448908788</v>
      </c>
      <c r="AK20" s="33" t="n">
        <f aca="false">AK16-AK18-AK19</f>
        <v>50432.3475221491</v>
      </c>
    </row>
    <row r="21" customFormat="false" ht="15" hidden="false" customHeight="false" outlineLevel="0" collapsed="false">
      <c r="A21" s="4" t="s">
        <v>182</v>
      </c>
      <c r="B21" s="28" t="n">
        <f aca="false">B20</f>
        <v>-32347.9926</v>
      </c>
      <c r="C21" s="28" t="n">
        <f aca="false">B21+C20</f>
        <v>-58788.80972</v>
      </c>
      <c r="D21" s="28" t="n">
        <f aca="false">C21+D20</f>
        <v>-84374.822664</v>
      </c>
      <c r="E21" s="28" t="n">
        <f aca="false">D21+E20</f>
        <v>-109088.8769968</v>
      </c>
      <c r="F21" s="28" t="n">
        <f aca="false">E21+F20</f>
        <v>-132910.38739616</v>
      </c>
      <c r="G21" s="28" t="n">
        <f aca="false">F21+G20</f>
        <v>-155814.651475392</v>
      </c>
      <c r="H21" s="28" t="n">
        <f aca="false">G21+H20</f>
        <v>-177772.02637047</v>
      </c>
      <c r="I21" s="28" t="n">
        <f aca="false">H21+I20</f>
        <v>-198746.940644564</v>
      </c>
      <c r="J21" s="28" t="n">
        <f aca="false">I21+J20</f>
        <v>-218696.708573477</v>
      </c>
      <c r="K21" s="28" t="n">
        <f aca="false">J21+K20</f>
        <v>-237570.107288173</v>
      </c>
      <c r="L21" s="28" t="n">
        <f aca="false">K21+L20</f>
        <v>-255305.669345807</v>
      </c>
      <c r="M21" s="28" t="n">
        <f aca="false">L21+M20</f>
        <v>-271829.633814969</v>
      </c>
      <c r="N21" s="28" t="n">
        <f aca="false">M21+N20</f>
        <v>-309035.67649147</v>
      </c>
      <c r="O21" s="28" t="n">
        <f aca="false">N21+O20</f>
        <v>-343665.050929151</v>
      </c>
      <c r="P21" s="28" t="n">
        <f aca="false">O21+P20</f>
        <v>-375639.266539353</v>
      </c>
      <c r="Q21" s="28" t="n">
        <f aca="false">P21+Q20</f>
        <v>-404870.41386278</v>
      </c>
      <c r="R21" s="28" t="n">
        <f aca="false">Q21+R20</f>
        <v>-431260.034305019</v>
      </c>
      <c r="S21" s="28" t="n">
        <f aca="false">R21+S20</f>
        <v>-454697.854240326</v>
      </c>
      <c r="T21" s="28" t="n">
        <f aca="false">S21+T20</f>
        <v>-475060.367207869</v>
      </c>
      <c r="U21" s="28" t="n">
        <f aca="false">T21+U20</f>
        <v>-492209.245971518</v>
      </c>
      <c r="V21" s="28" t="n">
        <f aca="false">U21+V20</f>
        <v>-505989.564026805</v>
      </c>
      <c r="W21" s="28" t="n">
        <f aca="false">V21+W20</f>
        <v>-516227.803688726</v>
      </c>
      <c r="X21" s="28" t="n">
        <f aca="false">W21+X20</f>
        <v>-522729.625150078</v>
      </c>
      <c r="Y21" s="28" t="n">
        <f aca="false">X21+Y20</f>
        <v>-525277.367826792</v>
      </c>
      <c r="Z21" s="28" t="n">
        <f aca="false">Y21+Z20</f>
        <v>-551293.914551818</v>
      </c>
      <c r="AA21" s="28" t="n">
        <f aca="false">Z21+AA20</f>
        <v>-571413.565974846</v>
      </c>
      <c r="AB21" s="28" t="n">
        <f aca="false">AA21+AB20</f>
        <v>-585472.183271717</v>
      </c>
      <c r="AC21" s="28" t="n">
        <f aca="false">AB21+AC20</f>
        <v>-593292.496512337</v>
      </c>
      <c r="AD21" s="28" t="n">
        <f aca="false">AC21+AD20</f>
        <v>-594683.054172207</v>
      </c>
      <c r="AE21" s="28" t="n">
        <f aca="false">AD21+AE20</f>
        <v>-589437.088604866</v>
      </c>
      <c r="AF21" s="28" t="n">
        <f aca="false">AE21+AF20</f>
        <v>-577331.290752138</v>
      </c>
      <c r="AG21" s="28" t="n">
        <f aca="false">AF21+AG20</f>
        <v>-558124.486831192</v>
      </c>
      <c r="AH21" s="28" t="n">
        <f aca="false">AG21+AH20</f>
        <v>-531556.209156571</v>
      </c>
      <c r="AI21" s="28" t="n">
        <f aca="false">AH21+AI20</f>
        <v>-497345.152627979</v>
      </c>
      <c r="AJ21" s="28" t="n">
        <f aca="false">AI21+AJ20</f>
        <v>-455187.5077371</v>
      </c>
      <c r="AK21" s="28" t="n">
        <f aca="false">AJ21+AK20</f>
        <v>-404755.160214951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4"/>
    <col collapsed="false" customWidth="true" hidden="false" outlineLevel="0" max="6" min="3" style="0" width="16"/>
  </cols>
  <sheetData>
    <row r="2" customFormat="false" ht="17.35" hidden="false" customHeight="false" outlineLevel="0" collapsed="false">
      <c r="B2" s="1" t="s">
        <v>183</v>
      </c>
    </row>
    <row r="4" customFormat="false" ht="15" hidden="false" customHeight="false" outlineLevel="0" collapsed="false">
      <c r="B4" s="4"/>
      <c r="C4" s="30" t="s">
        <v>184</v>
      </c>
      <c r="D4" s="30" t="s">
        <v>185</v>
      </c>
      <c r="E4" s="30" t="s">
        <v>186</v>
      </c>
    </row>
    <row r="5" customFormat="false" ht="15" hidden="false" customHeight="false" outlineLevel="0" collapsed="false">
      <c r="B5" s="5" t="s">
        <v>187</v>
      </c>
      <c r="C5" s="22" t="n">
        <f aca="false">SUM(Model!B8:M8)</f>
        <v>11850.4023710392</v>
      </c>
      <c r="D5" s="22" t="n">
        <f aca="false">SUM(Model!N8:Y8)</f>
        <v>60128.0661790577</v>
      </c>
      <c r="E5" s="22" t="n">
        <f aca="false">SUM(Model!Z8:AK8)</f>
        <v>177629.8633606</v>
      </c>
    </row>
    <row r="6" customFormat="false" ht="15" hidden="false" customHeight="false" outlineLevel="0" collapsed="false">
      <c r="B6" s="5" t="s">
        <v>188</v>
      </c>
      <c r="C6" s="22" t="n">
        <f aca="false">SUM(Model!B11:M11)</f>
        <v>64152</v>
      </c>
      <c r="D6" s="22" t="n">
        <f aca="false">SUM(Model!N11:Y11)</f>
        <v>270864</v>
      </c>
      <c r="E6" s="22" t="n">
        <f aca="false">SUM(Model!Z11:AK11)</f>
        <v>710424</v>
      </c>
    </row>
    <row r="7" customFormat="false" ht="15" hidden="false" customHeight="false" outlineLevel="0" collapsed="false">
      <c r="B7" s="5" t="s">
        <v>189</v>
      </c>
      <c r="C7" s="22" t="n">
        <f aca="false">SUM(Model!B13:M13)</f>
        <v>47496.602689536</v>
      </c>
      <c r="D7" s="22" t="n">
        <f aca="false">SUM(Model!N13:Y13)</f>
        <v>240994.253222676</v>
      </c>
      <c r="E7" s="22" t="n">
        <f aca="false">SUM(Model!Z13:AK13)</f>
        <v>711943.340122645</v>
      </c>
    </row>
    <row r="8" customFormat="false" ht="15" hidden="false" customHeight="false" outlineLevel="0" collapsed="false">
      <c r="B8" s="4" t="s">
        <v>175</v>
      </c>
      <c r="C8" s="33" t="n">
        <f aca="false">SUM(Model!B14:M14)</f>
        <v>123499.005060575</v>
      </c>
      <c r="D8" s="33" t="n">
        <f aca="false">SUM(Model!N14:Y14)</f>
        <v>571986.319401734</v>
      </c>
      <c r="E8" s="33" t="n">
        <f aca="false">SUM(Model!Z14:AK14)</f>
        <v>1599997.20348324</v>
      </c>
    </row>
    <row r="9" customFormat="false" ht="15" hidden="false" customHeight="false" outlineLevel="0" collapsed="false">
      <c r="B9" s="5" t="s">
        <v>177</v>
      </c>
      <c r="C9" s="22" t="n">
        <f aca="false">SUM(Model!B16:M16)</f>
        <v>94720.7847194311</v>
      </c>
      <c r="D9" s="22" t="n">
        <f aca="false">SUM(Model!N16:Y16)</f>
        <v>466138.986176872</v>
      </c>
      <c r="E9" s="22" t="n">
        <f aca="false">SUM(Model!Z16:AK16)</f>
        <v>1324257.80641513</v>
      </c>
    </row>
    <row r="10" customFormat="false" ht="15" hidden="false" customHeight="false" outlineLevel="0" collapsed="false">
      <c r="B10" s="5" t="s">
        <v>178</v>
      </c>
      <c r="C10" s="34" t="n">
        <f aca="false">IF(C8=0,0,C9/C8)</f>
        <v>0.766976095661429</v>
      </c>
      <c r="D10" s="34" t="n">
        <f aca="false">IF(D8=0,0,D9/D8)</f>
        <v>0.814947788724087</v>
      </c>
      <c r="E10" s="34" t="n">
        <f aca="false">IF(E8=0,0,E9/E8)</f>
        <v>0.827662575617117</v>
      </c>
    </row>
    <row r="11" customFormat="false" ht="15" hidden="false" customHeight="false" outlineLevel="0" collapsed="false">
      <c r="B11" s="5" t="s">
        <v>190</v>
      </c>
      <c r="C11" s="22" t="n">
        <f aca="false">SUM(Model!B18:M18)</f>
        <v>66550.4185344</v>
      </c>
      <c r="D11" s="22" t="n">
        <f aca="false">SUM(Model!N18:Y18)</f>
        <v>179586.720188695</v>
      </c>
      <c r="E11" s="22" t="n">
        <f aca="false">SUM(Model!Z18:AK18)</f>
        <v>363735.598803286</v>
      </c>
    </row>
    <row r="12" customFormat="false" ht="15" hidden="false" customHeight="false" outlineLevel="0" collapsed="false">
      <c r="B12" s="5" t="s">
        <v>191</v>
      </c>
      <c r="C12" s="22" t="n">
        <f aca="false">SUM(Model!B19:M19)</f>
        <v>300000</v>
      </c>
      <c r="D12" s="22" t="n">
        <f aca="false">SUM(Model!N19:Y19)</f>
        <v>540000</v>
      </c>
      <c r="E12" s="22" t="n">
        <f aca="false">SUM(Model!Z19:AK19)</f>
        <v>840000</v>
      </c>
    </row>
    <row r="13" customFormat="false" ht="15" hidden="false" customHeight="false" outlineLevel="0" collapsed="false">
      <c r="B13" s="4" t="s">
        <v>181</v>
      </c>
      <c r="C13" s="33" t="n">
        <f aca="false">SUM(Model!B20:M20)</f>
        <v>-271829.633814969</v>
      </c>
      <c r="D13" s="33" t="n">
        <f aca="false">SUM(Model!N20:Y20)</f>
        <v>-253447.734011823</v>
      </c>
      <c r="E13" s="33" t="n">
        <f aca="false">SUM(Model!Z20:AK20)</f>
        <v>120522.207611841</v>
      </c>
    </row>
    <row r="14" customFormat="false" ht="15" hidden="false" customHeight="false" outlineLevel="0" collapsed="false">
      <c r="B14" s="5" t="s">
        <v>192</v>
      </c>
      <c r="C14" s="20" t="n">
        <f aca="false">Model!M5</f>
        <v>14860.16741376</v>
      </c>
      <c r="D14" s="20" t="n">
        <f aca="false">Model!Y5</f>
        <v>57894.8554892379</v>
      </c>
      <c r="E14" s="20" t="n">
        <f aca="false">Model!AK5</f>
        <v>145789.095010552</v>
      </c>
    </row>
    <row r="15" customFormat="false" ht="15" hidden="false" customHeight="false" outlineLevel="0" collapsed="false">
      <c r="B15" s="5" t="s">
        <v>193</v>
      </c>
      <c r="C15" s="20" t="n">
        <f aca="false">Model!M9</f>
        <v>98</v>
      </c>
      <c r="D15" s="20" t="n">
        <f aca="false">Model!Y9</f>
        <v>338</v>
      </c>
      <c r="E15" s="20" t="n">
        <f aca="false">Model!AK9</f>
        <v>818</v>
      </c>
    </row>
    <row r="16" customFormat="false" ht="15" hidden="false" customHeight="false" outlineLevel="0" collapsed="false">
      <c r="B16" s="5" t="s">
        <v>194</v>
      </c>
      <c r="C16" s="22" t="n">
        <f aca="false">Model!M14*12</f>
        <v>250112.01012115</v>
      </c>
      <c r="D16" s="22" t="n">
        <f aca="false">Model!Y14*12</f>
        <v>922389.27792338</v>
      </c>
      <c r="E16" s="22" t="n">
        <f aca="false">Model!AK14*12</f>
        <v>2283361.01435293</v>
      </c>
    </row>
    <row r="19" customFormat="false" ht="15" hidden="false" customHeight="false" outlineLevel="0" collapsed="false">
      <c r="B19" s="3" t="s">
        <v>195</v>
      </c>
    </row>
    <row r="20" customFormat="false" ht="15" hidden="false" customHeight="false" outlineLevel="0" collapsed="false">
      <c r="B20" s="2" t="s">
        <v>196</v>
      </c>
    </row>
    <row r="21" customFormat="false" ht="15" hidden="false" customHeight="false" outlineLevel="0" collapsed="false">
      <c r="B21" s="4"/>
      <c r="C21" s="30" t="s">
        <v>197</v>
      </c>
      <c r="D21" s="30" t="s">
        <v>198</v>
      </c>
      <c r="E21" s="30" t="s">
        <v>199</v>
      </c>
      <c r="F21" s="30" t="s">
        <v>200</v>
      </c>
    </row>
    <row r="22" customFormat="false" ht="15" hidden="false" customHeight="false" outlineLevel="0" collapsed="false">
      <c r="B22" s="5" t="s">
        <v>201</v>
      </c>
      <c r="C22" s="12" t="n">
        <v>0.12</v>
      </c>
      <c r="D22" s="12" t="n">
        <v>0.2</v>
      </c>
      <c r="E22" s="12" t="n">
        <v>0.28</v>
      </c>
      <c r="F22" s="12" t="n">
        <v>0.2</v>
      </c>
    </row>
    <row r="23" customFormat="false" ht="15" hidden="false" customHeight="false" outlineLevel="0" collapsed="false">
      <c r="B23" s="5" t="s">
        <v>202</v>
      </c>
      <c r="C23" s="12" t="n">
        <v>0.02</v>
      </c>
      <c r="D23" s="12" t="n">
        <v>0.03</v>
      </c>
      <c r="E23" s="12" t="n">
        <v>0.05</v>
      </c>
      <c r="F23" s="12" t="n">
        <v>0.03</v>
      </c>
    </row>
    <row r="24" customFormat="false" ht="15" hidden="false" customHeight="false" outlineLevel="0" collapsed="false">
      <c r="B24" s="5" t="s">
        <v>203</v>
      </c>
      <c r="C24" s="11" t="n">
        <v>60</v>
      </c>
      <c r="D24" s="11" t="n">
        <v>98</v>
      </c>
      <c r="E24" s="11" t="n">
        <v>140</v>
      </c>
      <c r="F24" s="11" t="n">
        <v>98</v>
      </c>
    </row>
    <row r="25" customFormat="false" ht="15" hidden="false" customHeight="false" outlineLevel="0" collapsed="false">
      <c r="B25" s="5" t="s">
        <v>204</v>
      </c>
      <c r="C25" s="11" t="n">
        <v>1</v>
      </c>
      <c r="D25" s="11" t="n">
        <v>1</v>
      </c>
      <c r="E25" s="11" t="n">
        <v>1</v>
      </c>
      <c r="F25" s="11" t="n">
        <v>0</v>
      </c>
    </row>
    <row r="26" customFormat="false" ht="15" hidden="false" customHeight="false" outlineLevel="0" collapsed="false">
      <c r="B26" s="5" t="s">
        <v>205</v>
      </c>
      <c r="C26" s="20" t="n">
        <f aca="false">Assumptions!$C$16*(1+C22)^11</f>
        <v>6957.09998669104</v>
      </c>
      <c r="D26" s="20" t="n">
        <f aca="false">Assumptions!$C$16*(1+D22)^11</f>
        <v>14860.16741376</v>
      </c>
      <c r="E26" s="20" t="n">
        <f aca="false">Assumptions!$C$16*(1+E22)^11</f>
        <v>30223.1454903657</v>
      </c>
      <c r="F26" s="20" t="n">
        <f aca="false">Assumptions!$C$16*(1+F22)^11</f>
        <v>14860.16741376</v>
      </c>
    </row>
    <row r="27" customFormat="false" ht="15" hidden="false" customHeight="false" outlineLevel="0" collapsed="false">
      <c r="B27" s="4" t="s">
        <v>206</v>
      </c>
      <c r="C27" s="28" t="n">
        <f aca="false">C26*C23*Assumptions!$C$21*C25+C24*Assumptions!$C$30+C26*Assumptions!$C$36*Assumptions!$C$37</f>
        <v>10808.5785706864</v>
      </c>
      <c r="D27" s="28" t="n">
        <f aca="false">D26*D23*Assumptions!$C$21*D25+D24*Assumptions!$C$30+D26*Assumptions!$C$36*Assumptions!$C$37</f>
        <v>20842.6675100959</v>
      </c>
      <c r="E27" s="28" t="n">
        <f aca="false">E26*E23*Assumptions!$C$21*E25+E24*Assumptions!$C$30+E26*Assumptions!$C$36*Assumptions!$C$37</f>
        <v>39534.5620940657</v>
      </c>
      <c r="F27" s="28" t="n">
        <f aca="false">F26*F23*Assumptions!$C$21*F25+F24*Assumptions!$C$30+F26*Assumptions!$C$36*Assumptions!$C$37</f>
        <v>18618.100448256</v>
      </c>
    </row>
    <row r="28" customFormat="false" ht="15" hidden="false" customHeight="false" outlineLevel="0" collapsed="false">
      <c r="B28" s="4" t="s">
        <v>207</v>
      </c>
      <c r="C28" s="28" t="n">
        <f aca="false">C27*12</f>
        <v>129702.942848237</v>
      </c>
      <c r="D28" s="28" t="n">
        <f aca="false">D27*12</f>
        <v>250112.01012115</v>
      </c>
      <c r="E28" s="28" t="n">
        <f aca="false">E27*12</f>
        <v>474414.745128788</v>
      </c>
      <c r="F28" s="28" t="n">
        <f aca="false">F27*12</f>
        <v>223417.205379072</v>
      </c>
    </row>
    <row r="30" customFormat="false" ht="15" hidden="false" customHeight="false" outlineLevel="0" collapsed="false">
      <c r="B30" s="2" t="s">
        <v>208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6"/>
    <col collapsed="false" customWidth="true" hidden="false" outlineLevel="0" max="3" min="3" style="0" width="22"/>
    <col collapsed="false" customWidth="true" hidden="false" outlineLevel="0" max="4" min="4" style="0" width="62"/>
  </cols>
  <sheetData>
    <row r="2" customFormat="false" ht="17.35" hidden="false" customHeight="false" outlineLevel="0" collapsed="false">
      <c r="B2" s="1" t="s">
        <v>209</v>
      </c>
    </row>
    <row r="4" customFormat="false" ht="15" hidden="false" customHeight="false" outlineLevel="0" collapsed="false">
      <c r="B4" s="4" t="s">
        <v>210</v>
      </c>
      <c r="C4" s="35" t="str">
        <f aca="false">IF(SUMPRODUCT(--(Model!$B$21:$AK$21&lt;=0))&gt;=36,"Beyond M36",SUMPRODUCT(--(Model!$B$21:$AK$21&lt;=0))+1)</f>
        <v>Beyond M36</v>
      </c>
      <c r="D4" s="2" t="s">
        <v>211</v>
      </c>
    </row>
    <row r="5" customFormat="false" ht="15" hidden="false" customHeight="false" outlineLevel="0" collapsed="false">
      <c r="B5" s="4" t="s">
        <v>212</v>
      </c>
      <c r="C5" s="36" t="n">
        <f aca="false">MIN(Model!$B$21:$AK$21)</f>
        <v>-594683.054172207</v>
      </c>
      <c r="D5" s="2" t="s">
        <v>213</v>
      </c>
    </row>
    <row r="6" customFormat="false" ht="15" hidden="false" customHeight="false" outlineLevel="0" collapsed="false">
      <c r="B6" s="4" t="s">
        <v>214</v>
      </c>
      <c r="C6" s="36" t="n">
        <f aca="false">-MIN(Model!$B$21:$AK$21)*1.4</f>
        <v>832556.275841089</v>
      </c>
      <c r="D6" s="2" t="s">
        <v>215</v>
      </c>
    </row>
    <row r="7" customFormat="false" ht="15" hidden="false" customHeight="false" outlineLevel="0" collapsed="false">
      <c r="B7" s="4" t="s">
        <v>216</v>
      </c>
      <c r="C7" s="36" t="n">
        <f aca="false">Model!AK14*12</f>
        <v>2283361.01435293</v>
      </c>
      <c r="D7" s="2" t="s">
        <v>217</v>
      </c>
    </row>
    <row r="8" customFormat="false" ht="15" hidden="false" customHeight="false" outlineLevel="0" collapsed="false">
      <c r="B8" s="4" t="s">
        <v>218</v>
      </c>
      <c r="C8" s="37" t="n">
        <f aca="false">Model!AK5</f>
        <v>145789.095010552</v>
      </c>
    </row>
    <row r="9" customFormat="false" ht="15" hidden="false" customHeight="false" outlineLevel="0" collapsed="false">
      <c r="B9" s="4" t="s">
        <v>219</v>
      </c>
      <c r="C9" s="37" t="n">
        <f aca="false">Model!AK9</f>
        <v>818</v>
      </c>
    </row>
    <row r="10" customFormat="false" ht="15" hidden="false" customHeight="false" outlineLevel="0" collapsed="false">
      <c r="B10" s="4" t="s">
        <v>220</v>
      </c>
      <c r="C10" s="38" t="n">
        <f aca="false">Summary!E10</f>
        <v>0.827662575617117</v>
      </c>
    </row>
    <row r="11" customFormat="false" ht="15" hidden="false" customHeight="false" outlineLevel="0" collapsed="false">
      <c r="B11" s="4" t="s">
        <v>221</v>
      </c>
      <c r="C11" s="39" t="n">
        <f aca="false">UnitEconomics!C17</f>
        <v>7.12066666666667</v>
      </c>
      <c r="D11" s="2" t="s">
        <v>222</v>
      </c>
    </row>
    <row r="12" customFormat="false" ht="15" hidden="false" customHeight="false" outlineLevel="0" collapsed="false">
      <c r="B12" s="4" t="s">
        <v>223</v>
      </c>
      <c r="C12" s="40" t="n">
        <f aca="false">UnitEconomics!C10</f>
        <v>4.1991491851887</v>
      </c>
      <c r="D12" s="2" t="s">
        <v>224</v>
      </c>
    </row>
    <row r="13" customFormat="false" ht="15" hidden="false" customHeight="false" outlineLevel="0" collapsed="false">
      <c r="B13" s="4" t="s">
        <v>225</v>
      </c>
      <c r="C13" s="38" t="n">
        <f aca="false">IF(Summary!E8=0,0,(Summary!E6+Summary!E7)/Summary!E8)</f>
        <v>0.888981141358314</v>
      </c>
      <c r="D13" s="2" t="s">
        <v>226</v>
      </c>
    </row>
    <row r="15" customFormat="false" ht="15" hidden="false" customHeight="false" outlineLevel="0" collapsed="false">
      <c r="B15" s="2" t="s">
        <v>227</v>
      </c>
    </row>
    <row r="16" customFormat="false" ht="15" hidden="false" customHeight="false" outlineLevel="0" collapsed="false">
      <c r="B16" s="2" t="s">
        <v>228</v>
      </c>
    </row>
    <row r="17" customFormat="false" ht="15" hidden="false" customHeight="false" outlineLevel="0" collapsed="false">
      <c r="B17" s="2" t="s">
        <v>229</v>
      </c>
    </row>
    <row r="18" customFormat="false" ht="15" hidden="false" customHeight="false" outlineLevel="0" collapsed="false">
      <c r="B18" s="2" t="s">
        <v>230</v>
      </c>
    </row>
    <row r="19" customFormat="false" ht="15" hidden="false" customHeight="false" outlineLevel="0" collapsed="false">
      <c r="B19" s="2" t="s">
        <v>231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2026-07-18T17:39:05Z</dcterms:created>
  <dc:creator>openpyxl</dc:creator>
  <dc:description/>
  <dc:language>en-US</dc:language>
  <cp:lastModifiedBy/>
  <dcterms:modified xsi:type="dcterms:W3CDTF">2026-07-18T17:39:05Z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